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971\Downloads\"/>
    </mc:Choice>
  </mc:AlternateContent>
  <xr:revisionPtr revIDLastSave="0" documentId="13_ncr:1_{9B83DF83-AC03-4F66-92E5-8A4D7C94FDD2}" xr6:coauthVersionLast="47" xr6:coauthVersionMax="47" xr10:uidLastSave="{00000000-0000-0000-0000-000000000000}"/>
  <bookViews>
    <workbookView xWindow="-120" yWindow="-120" windowWidth="24240" windowHeight="13140" xr2:uid="{41B43F34-5090-4523-A517-9A06B1B3D81D}"/>
  </bookViews>
  <sheets>
    <sheet name="Pivot Table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</calcChain>
</file>

<file path=xl/sharedStrings.xml><?xml version="1.0" encoding="utf-8"?>
<sst xmlns="http://schemas.openxmlformats.org/spreadsheetml/2006/main" count="1015" uniqueCount="42">
  <si>
    <t>Traffic Source Type</t>
  </si>
  <si>
    <t>Traffic Source %</t>
  </si>
  <si>
    <t>Visitor Type</t>
  </si>
  <si>
    <t>Visitor Count</t>
  </si>
  <si>
    <t>Visitor Date</t>
  </si>
  <si>
    <t>Visits (in thousands)</t>
  </si>
  <si>
    <t>Bounce Rate %</t>
  </si>
  <si>
    <t>Avg. Session Duration (sec)</t>
  </si>
  <si>
    <t>Pages Per Visit</t>
  </si>
  <si>
    <t>Bounce Rate</t>
  </si>
  <si>
    <t>Total Page Views</t>
  </si>
  <si>
    <t>Goal Conversion Rate %</t>
  </si>
  <si>
    <t>Channel</t>
  </si>
  <si>
    <t>Conversion % (Channel)</t>
  </si>
  <si>
    <t>Campaign Name</t>
  </si>
  <si>
    <t>Conversion % (Campaign)</t>
  </si>
  <si>
    <t>Page Name</t>
  </si>
  <si>
    <t>Conversion % (Page)</t>
  </si>
  <si>
    <t>Social</t>
  </si>
  <si>
    <t>Returning</t>
  </si>
  <si>
    <t>Paid Search</t>
  </si>
  <si>
    <t>Campaign 2</t>
  </si>
  <si>
    <t>Page 3</t>
  </si>
  <si>
    <t>New</t>
  </si>
  <si>
    <t>Direct</t>
  </si>
  <si>
    <t>Page 1</t>
  </si>
  <si>
    <t>Paid</t>
  </si>
  <si>
    <t>Organic</t>
  </si>
  <si>
    <t>Defect</t>
  </si>
  <si>
    <t>Campaign 1</t>
  </si>
  <si>
    <t>Referral</t>
  </si>
  <si>
    <t>Campaign 3</t>
  </si>
  <si>
    <t>Email</t>
  </si>
  <si>
    <t>Campaign 4</t>
  </si>
  <si>
    <t>Page 2</t>
  </si>
  <si>
    <t>Guest</t>
  </si>
  <si>
    <t>Year</t>
  </si>
  <si>
    <t>Month</t>
  </si>
  <si>
    <t>Row Labels</t>
  </si>
  <si>
    <t>Grand Total</t>
  </si>
  <si>
    <t>Sum of Visitor Count</t>
  </si>
  <si>
    <t>Sum of Visitor 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</si>
</sst>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ulam murtaza" refreshedDate="46250.778710185186" createdVersion="8" refreshedVersion="8" minRefreshableVersion="3" recordCount="195" xr:uid="{26ECA36C-5A7C-44F0-88CE-33892C7597F3}">
  <cacheSource type="worksheet">
    <worksheetSource name="Table1"/>
  </cacheSource>
  <cacheFields count="20">
    <cacheField name="Traffic Source Type" numFmtId="0">
      <sharedItems count="6">
        <s v="Social"/>
        <s v="Direct"/>
        <s v="Paid"/>
        <s v="Defect"/>
        <s v="Referral"/>
        <s v="Email"/>
      </sharedItems>
    </cacheField>
    <cacheField name="Traffic Source %" numFmtId="0">
      <sharedItems containsSemiMixedTypes="0" containsString="0" containsNumber="1" containsInteger="1" minValue="14" maxValue="91"/>
    </cacheField>
    <cacheField name="Visitor Type" numFmtId="0">
      <sharedItems/>
    </cacheField>
    <cacheField name="Visitor Count" numFmtId="0">
      <sharedItems containsSemiMixedTypes="0" containsString="0" containsNumber="1" containsInteger="1" minValue="0" maxValue="439"/>
    </cacheField>
    <cacheField name="Visitor Date" numFmtId="14">
      <sharedItems containsSemiMixedTypes="0" containsNonDate="0" containsDate="1" containsString="0" minDate="2022-01-09T00:00:00" maxDate="2022-07-23T00:00:00"/>
    </cacheField>
    <cacheField name="Visits (in thousands)" numFmtId="0">
      <sharedItems containsSemiMixedTypes="0" containsString="0" containsNumber="1" containsInteger="1" minValue="6" maxValue="55"/>
    </cacheField>
    <cacheField name="Bounce Rate %" numFmtId="0">
      <sharedItems containsSemiMixedTypes="0" containsString="0" containsNumber="1" minValue="5" maxValue="91.5"/>
    </cacheField>
    <cacheField name="Avg. Session Duration (sec)" numFmtId="0">
      <sharedItems containsSemiMixedTypes="0" containsString="0" containsNumber="1" containsInteger="1" minValue="15" maxValue="79"/>
    </cacheField>
    <cacheField name="Pages Per Visit" numFmtId="0">
      <sharedItems containsSemiMixedTypes="0" containsString="0" containsNumber="1" minValue="2.5" maxValue="4.5999999999999996"/>
    </cacheField>
    <cacheField name="Bounce Rate" numFmtId="0">
      <sharedItems containsString="0" containsBlank="1" containsNumber="1" minValue="0" maxValue="68"/>
    </cacheField>
    <cacheField name="Total Page Views" numFmtId="0">
      <sharedItems containsSemiMixedTypes="0" containsString="0" containsNumber="1" containsInteger="1" minValue="25" maxValue="99"/>
    </cacheField>
    <cacheField name="Goal Conversion Rate %" numFmtId="0">
      <sharedItems containsSemiMixedTypes="0" containsString="0" containsNumber="1" minValue="4" maxValue="18.5"/>
    </cacheField>
    <cacheField name="Channel" numFmtId="0">
      <sharedItems/>
    </cacheField>
    <cacheField name="Conversion % (Channel)" numFmtId="0">
      <sharedItems containsSemiMixedTypes="0" containsString="0" containsNumber="1" minValue="4" maxValue="27.5"/>
    </cacheField>
    <cacheField name="Campaign Name" numFmtId="0">
      <sharedItems/>
    </cacheField>
    <cacheField name="Conversion % (Campaign)" numFmtId="0">
      <sharedItems containsSemiMixedTypes="0" containsString="0" containsNumber="1" minValue="6.5" maxValue="20.5"/>
    </cacheField>
    <cacheField name="Page Name" numFmtId="0">
      <sharedItems/>
    </cacheField>
    <cacheField name="Conversion % (Page)" numFmtId="0">
      <sharedItems containsSemiMixedTypes="0" containsString="0" containsNumber="1" minValue="5" maxValue="23"/>
    </cacheField>
    <cacheField name="Year" numFmtId="0">
      <sharedItems containsSemiMixedTypes="0" containsString="0" containsNumber="1" containsInteger="1" minValue="2022" maxValue="2022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n v="91"/>
    <s v="Returning"/>
    <n v="52"/>
    <d v="2022-01-09T00:00:00"/>
    <n v="53"/>
    <n v="54.88"/>
    <n v="77"/>
    <n v="4.3"/>
    <n v="61.5"/>
    <n v="69"/>
    <n v="17.100000000000001"/>
    <s v="Paid Search"/>
    <n v="6.2"/>
    <s v="Campaign 2"/>
    <n v="17.399999999999999"/>
    <s v="Page 3"/>
    <n v="22.2"/>
    <n v="2022"/>
    <s v="Jan"/>
  </r>
  <r>
    <x v="0"/>
    <n v="91"/>
    <s v="New"/>
    <n v="125"/>
    <d v="2022-01-10T00:00:00"/>
    <n v="30"/>
    <n v="56.3"/>
    <n v="73"/>
    <n v="3.7"/>
    <n v="59.2"/>
    <n v="56"/>
    <n v="16"/>
    <s v="Paid Search"/>
    <n v="6"/>
    <s v="Campaign 2"/>
    <n v="16.8"/>
    <s v="Page 3"/>
    <n v="21.5"/>
    <n v="2022"/>
    <s v="Jan"/>
  </r>
  <r>
    <x v="1"/>
    <n v="44"/>
    <s v="Returning"/>
    <n v="45"/>
    <d v="2022-01-11T00:00:00"/>
    <n v="50"/>
    <n v="91.47"/>
    <n v="49"/>
    <n v="2.9"/>
    <n v="47.8"/>
    <n v="33"/>
    <n v="18"/>
    <s v="Direct"/>
    <n v="27.5"/>
    <s v="Campaign 2"/>
    <n v="8.1"/>
    <s v="Page 1"/>
    <n v="6.9"/>
    <n v="2022"/>
    <s v="Jan"/>
  </r>
  <r>
    <x v="1"/>
    <n v="44"/>
    <s v="New"/>
    <n v="39"/>
    <d v="2022-01-12T00:00:00"/>
    <n v="42"/>
    <n v="85.3"/>
    <n v="35"/>
    <n v="2.7"/>
    <n v="45"/>
    <n v="28"/>
    <n v="17.5"/>
    <s v="Direct"/>
    <n v="26"/>
    <s v="Campaign 2"/>
    <n v="7.5"/>
    <s v="Page 1"/>
    <n v="6.3"/>
    <n v="2022"/>
    <s v="Jan"/>
  </r>
  <r>
    <x v="2"/>
    <n v="26"/>
    <s v="Returning"/>
    <n v="30"/>
    <d v="2022-01-13T00:00:00"/>
    <n v="9"/>
    <n v="6.04"/>
    <n v="78"/>
    <n v="3.2"/>
    <n v="48.7"/>
    <n v="35"/>
    <n v="5.8"/>
    <s v="Organic"/>
    <n v="23.6"/>
    <s v="Campaign 2"/>
    <n v="18.399999999999999"/>
    <s v="Page 3"/>
    <n v="11.6"/>
    <n v="2022"/>
    <s v="Jan"/>
  </r>
  <r>
    <x v="2"/>
    <n v="26"/>
    <s v="New"/>
    <n v="35"/>
    <d v="2022-01-14T00:00:00"/>
    <n v="14"/>
    <n v="7.5"/>
    <n v="75"/>
    <n v="3.1"/>
    <n v="46.2"/>
    <n v="29"/>
    <n v="5.5"/>
    <s v="Organic"/>
    <n v="22"/>
    <s v="Campaign 2"/>
    <n v="16.7"/>
    <s v="Page 3"/>
    <n v="10.8"/>
    <n v="2022"/>
    <s v="Jan"/>
  </r>
  <r>
    <x v="3"/>
    <n v="68"/>
    <s v="Returning"/>
    <n v="155"/>
    <d v="2022-01-15T00:00:00"/>
    <n v="15"/>
    <n v="90"/>
    <n v="54"/>
    <n v="3.4"/>
    <n v="67.8"/>
    <n v="34"/>
    <n v="11"/>
    <s v="Paid Search"/>
    <n v="5.3"/>
    <s v="Campaign 1"/>
    <n v="20.5"/>
    <s v="Page 1"/>
    <n v="19.5"/>
    <n v="2022"/>
    <s v="Jan"/>
  </r>
  <r>
    <x v="3"/>
    <n v="68"/>
    <s v="New"/>
    <n v="28"/>
    <d v="2022-01-16T00:00:00"/>
    <n v="10"/>
    <n v="88"/>
    <n v="50"/>
    <n v="3"/>
    <n v="4"/>
    <n v="28"/>
    <n v="10.199999999999999"/>
    <s v="Paid Search"/>
    <n v="4.8"/>
    <s v="Campaign 1"/>
    <n v="19.7"/>
    <s v="Page 1"/>
    <n v="18"/>
    <n v="2022"/>
    <s v="Jan"/>
  </r>
  <r>
    <x v="4"/>
    <n v="14"/>
    <s v="Returning"/>
    <n v="114"/>
    <d v="2022-01-17T00:00:00"/>
    <n v="17"/>
    <n v="70.63"/>
    <n v="41"/>
    <n v="3.9"/>
    <n v="59.4"/>
    <n v="95"/>
    <n v="15.6"/>
    <s v="Organic"/>
    <n v="23.7"/>
    <s v="Campaign 3"/>
    <n v="15.6"/>
    <s v="Page 1"/>
    <n v="15.1"/>
    <n v="2022"/>
    <s v="Jan"/>
  </r>
  <r>
    <x v="4"/>
    <n v="14"/>
    <s v="New"/>
    <n v="11"/>
    <d v="2022-01-18T00:00:00"/>
    <n v="8"/>
    <n v="65"/>
    <n v="25"/>
    <n v="3.6"/>
    <n v="55"/>
    <n v="65"/>
    <n v="14"/>
    <s v="Organic"/>
    <n v="21.5"/>
    <s v="Campaign 3"/>
    <n v="13.9"/>
    <s v="Page 1"/>
    <n v="14.2"/>
    <n v="2022"/>
    <s v="Jan"/>
  </r>
  <r>
    <x v="5"/>
    <n v="33"/>
    <s v="Returning"/>
    <n v="30"/>
    <d v="2022-01-19T00:00:00"/>
    <n v="18"/>
    <n v="65.34"/>
    <n v="15"/>
    <n v="4.0999999999999996"/>
    <n v="52.3"/>
    <n v="94"/>
    <n v="16.2"/>
    <s v="Direct"/>
    <n v="18.899999999999999"/>
    <s v="Campaign 4"/>
    <n v="13.8"/>
    <s v="Page 2"/>
    <n v="10.7"/>
    <n v="2022"/>
    <s v="Jan"/>
  </r>
  <r>
    <x v="5"/>
    <n v="33"/>
    <s v="New"/>
    <n v="26"/>
    <d v="2022-01-20T00:00:00"/>
    <n v="13"/>
    <n v="60.2"/>
    <n v="16"/>
    <n v="3.8"/>
    <n v="50.5"/>
    <n v="75"/>
    <n v="15"/>
    <s v="Direct"/>
    <n v="17.8"/>
    <s v="Campaign 4"/>
    <n v="12"/>
    <s v="Page 2"/>
    <n v="9.5"/>
    <n v="2022"/>
    <s v="Jan"/>
  </r>
  <r>
    <x v="0"/>
    <n v="91"/>
    <s v="Returning"/>
    <n v="45"/>
    <d v="2022-01-21T00:00:00"/>
    <n v="50"/>
    <n v="54.88"/>
    <n v="77"/>
    <n v="4.2"/>
    <n v="61.5"/>
    <n v="68"/>
    <n v="17.100000000000001"/>
    <s v="Paid Search"/>
    <n v="6.2"/>
    <s v="Campaign 2"/>
    <n v="17.399999999999999"/>
    <s v="Page 3"/>
    <n v="22.2"/>
    <n v="2022"/>
    <s v="Jan"/>
  </r>
  <r>
    <x v="0"/>
    <n v="91"/>
    <s v="New"/>
    <n v="28"/>
    <d v="2022-01-22T00:00:00"/>
    <n v="33"/>
    <n v="56.3"/>
    <n v="73"/>
    <n v="3.7"/>
    <n v="59.2"/>
    <n v="57"/>
    <n v="16"/>
    <s v="Paid Search"/>
    <n v="6"/>
    <s v="Campaign 2"/>
    <n v="16.8"/>
    <s v="Page 3"/>
    <n v="21.5"/>
    <n v="2022"/>
    <s v="Jan"/>
  </r>
  <r>
    <x v="1"/>
    <n v="44"/>
    <s v="Returning"/>
    <n v="42"/>
    <d v="2022-01-23T00:00:00"/>
    <n v="46"/>
    <n v="91.47"/>
    <n v="49"/>
    <n v="2.9"/>
    <n v="47.8"/>
    <n v="31"/>
    <n v="18"/>
    <s v="Direct"/>
    <n v="27.5"/>
    <s v="Campaign 2"/>
    <n v="8.1"/>
    <s v="Page 1"/>
    <n v="6.9"/>
    <n v="2022"/>
    <s v="Jan"/>
  </r>
  <r>
    <x v="1"/>
    <n v="44"/>
    <s v="New"/>
    <n v="38"/>
    <d v="2022-01-24T00:00:00"/>
    <n v="35"/>
    <n v="85.3"/>
    <n v="35"/>
    <n v="2.5"/>
    <n v="45"/>
    <n v="27"/>
    <n v="17.5"/>
    <s v="Direct"/>
    <n v="26"/>
    <s v="Campaign 2"/>
    <n v="7.5"/>
    <s v="Page 1"/>
    <n v="6.3"/>
    <n v="2022"/>
    <s v="Jan"/>
  </r>
  <r>
    <x v="2"/>
    <n v="26"/>
    <s v="Returning"/>
    <n v="35"/>
    <d v="2022-01-25T00:00:00"/>
    <n v="9"/>
    <n v="6.04"/>
    <n v="78"/>
    <n v="3.4"/>
    <n v="48.7"/>
    <n v="36"/>
    <n v="5.8"/>
    <s v="Organic"/>
    <n v="23.6"/>
    <s v="Campaign 2"/>
    <n v="18.399999999999999"/>
    <s v="Page 3"/>
    <n v="11.6"/>
    <n v="2022"/>
    <s v="Jan"/>
  </r>
  <r>
    <x v="2"/>
    <n v="26"/>
    <s v="New"/>
    <n v="32"/>
    <d v="2022-01-26T00:00:00"/>
    <n v="12"/>
    <n v="7.5"/>
    <n v="75"/>
    <n v="3"/>
    <n v="46.2"/>
    <n v="29"/>
    <n v="5.5"/>
    <s v="Organic"/>
    <n v="22"/>
    <s v="Campaign 2"/>
    <n v="16.7"/>
    <s v="Page 3"/>
    <n v="10.8"/>
    <n v="2022"/>
    <s v="Jan"/>
  </r>
  <r>
    <x v="3"/>
    <n v="68"/>
    <s v="Returning"/>
    <n v="150"/>
    <d v="2022-01-27T00:00:00"/>
    <n v="13"/>
    <n v="90"/>
    <n v="54"/>
    <n v="3.5"/>
    <n v="67.8"/>
    <n v="33"/>
    <n v="11"/>
    <s v="Paid Search"/>
    <n v="5.3"/>
    <s v="Campaign 1"/>
    <n v="20.5"/>
    <s v="Page 1"/>
    <n v="19.5"/>
    <n v="2022"/>
    <s v="Jan"/>
  </r>
  <r>
    <x v="3"/>
    <n v="68"/>
    <s v="New"/>
    <n v="30"/>
    <d v="2022-01-28T00:00:00"/>
    <n v="11"/>
    <n v="88"/>
    <n v="50"/>
    <n v="3.2"/>
    <n v="64"/>
    <n v="28"/>
    <n v="10.199999999999999"/>
    <s v="Paid Search"/>
    <n v="4.8"/>
    <s v="Campaign 1"/>
    <n v="19.7"/>
    <s v="Page 1"/>
    <n v="18"/>
    <n v="2022"/>
    <s v="Jan"/>
  </r>
  <r>
    <x v="4"/>
    <n v="14"/>
    <s v="Returning"/>
    <n v="12"/>
    <d v="2022-01-29T00:00:00"/>
    <n v="15"/>
    <n v="70.63"/>
    <n v="41"/>
    <n v="3.9"/>
    <n v="59.4"/>
    <n v="90"/>
    <n v="15.6"/>
    <s v="Organic"/>
    <n v="23.7"/>
    <s v="Campaign 3"/>
    <n v="15.6"/>
    <s v="Page 1"/>
    <n v="15.1"/>
    <n v="2022"/>
    <s v="Jan"/>
  </r>
  <r>
    <x v="4"/>
    <n v="14"/>
    <s v="New"/>
    <n v="39"/>
    <d v="2022-01-30T00:00:00"/>
    <n v="9"/>
    <n v="65"/>
    <n v="25"/>
    <n v="3.5"/>
    <n v="55"/>
    <n v="64"/>
    <n v="14"/>
    <s v="Organic"/>
    <n v="21.5"/>
    <s v="Campaign 3"/>
    <n v="13.9"/>
    <s v="Page 1"/>
    <n v="14.2"/>
    <n v="2022"/>
    <s v="Jan"/>
  </r>
  <r>
    <x v="5"/>
    <n v="33"/>
    <s v="Returning"/>
    <n v="134"/>
    <d v="2022-01-31T00:00:00"/>
    <n v="17"/>
    <n v="65.34"/>
    <n v="26"/>
    <n v="4.0999999999999996"/>
    <n v="52.3"/>
    <n v="93"/>
    <n v="16.2"/>
    <s v="Direct"/>
    <n v="18.899999999999999"/>
    <s v="Campaign 4"/>
    <n v="13.8"/>
    <s v="Page 2"/>
    <n v="10.7"/>
    <n v="2022"/>
    <s v="Jan"/>
  </r>
  <r>
    <x v="5"/>
    <n v="33"/>
    <s v="New"/>
    <n v="27"/>
    <d v="2022-02-01T00:00:00"/>
    <n v="13"/>
    <n v="60.2"/>
    <n v="27"/>
    <n v="3.6"/>
    <n v="50.5"/>
    <n v="76"/>
    <n v="15"/>
    <s v="Direct"/>
    <n v="17.8"/>
    <s v="Campaign 4"/>
    <n v="12"/>
    <s v="Page 2"/>
    <n v="9.5"/>
    <n v="2022"/>
    <s v="Feb"/>
  </r>
  <r>
    <x v="0"/>
    <n v="91"/>
    <s v="Returning"/>
    <n v="25"/>
    <d v="2022-02-02T00:00:00"/>
    <n v="47"/>
    <n v="54.88"/>
    <n v="77"/>
    <n v="4.4000000000000004"/>
    <n v="61.5"/>
    <n v="66"/>
    <n v="17.100000000000001"/>
    <s v="Paid Search"/>
    <n v="6.2"/>
    <s v="Campaign 2"/>
    <n v="17.399999999999999"/>
    <s v="Page 3"/>
    <n v="22.2"/>
    <n v="2022"/>
    <s v="Feb"/>
  </r>
  <r>
    <x v="0"/>
    <n v="91"/>
    <s v="New"/>
    <n v="300"/>
    <d v="2022-02-03T00:00:00"/>
    <n v="35"/>
    <n v="56.3"/>
    <n v="73"/>
    <n v="3.9"/>
    <n v="59.2"/>
    <n v="56"/>
    <n v="16"/>
    <s v="Paid Search"/>
    <n v="6"/>
    <s v="Campaign 2"/>
    <n v="16.8"/>
    <s v="Page 3"/>
    <n v="21.5"/>
    <n v="2022"/>
    <s v="Feb"/>
  </r>
  <r>
    <x v="1"/>
    <n v="44"/>
    <s v="Returning"/>
    <n v="78"/>
    <d v="2022-02-04T00:00:00"/>
    <n v="44"/>
    <n v="91.47"/>
    <n v="49"/>
    <n v="2.7"/>
    <n v="47.8"/>
    <n v="32"/>
    <n v="18"/>
    <s v="Direct"/>
    <n v="27.5"/>
    <s v="Campaign 2"/>
    <n v="8.1"/>
    <s v="Page 1"/>
    <n v="6.9"/>
    <n v="2022"/>
    <s v="Feb"/>
  </r>
  <r>
    <x v="1"/>
    <n v="44"/>
    <s v="New"/>
    <n v="350"/>
    <d v="2022-02-05T00:00:00"/>
    <n v="32"/>
    <n v="85.3"/>
    <n v="35"/>
    <n v="2.5"/>
    <n v="45"/>
    <n v="29"/>
    <n v="17.5"/>
    <s v="Direct"/>
    <n v="26"/>
    <s v="Campaign 2"/>
    <n v="7.5"/>
    <s v="Page 1"/>
    <n v="6.3"/>
    <n v="2022"/>
    <s v="Feb"/>
  </r>
  <r>
    <x v="2"/>
    <n v="26"/>
    <s v="Returning"/>
    <n v="27"/>
    <d v="2022-02-06T00:00:00"/>
    <n v="8"/>
    <n v="6.04"/>
    <n v="78"/>
    <n v="3.2"/>
    <n v="48.7"/>
    <n v="34"/>
    <n v="5.8"/>
    <s v="Organic"/>
    <n v="23.6"/>
    <s v="Campaign 2"/>
    <n v="18.399999999999999"/>
    <s v="Page 3"/>
    <n v="11.6"/>
    <n v="2022"/>
    <s v="Feb"/>
  </r>
  <r>
    <x v="2"/>
    <n v="26"/>
    <s v="New"/>
    <n v="30"/>
    <d v="2022-02-07T00:00:00"/>
    <n v="10"/>
    <n v="7.5"/>
    <n v="75"/>
    <n v="3"/>
    <n v="46.2"/>
    <n v="27"/>
    <n v="5.5"/>
    <s v="Organic"/>
    <n v="22"/>
    <s v="Campaign 2"/>
    <n v="16.7"/>
    <s v="Page 3"/>
    <n v="10.8"/>
    <n v="2022"/>
    <s v="Feb"/>
  </r>
  <r>
    <x v="3"/>
    <n v="68"/>
    <s v="Returning"/>
    <n v="439"/>
    <d v="2022-02-08T00:00:00"/>
    <n v="11"/>
    <n v="90"/>
    <n v="54"/>
    <n v="3.3"/>
    <n v="7.8"/>
    <n v="33"/>
    <n v="11"/>
    <s v="Paid Search"/>
    <n v="5.3"/>
    <s v="Campaign 1"/>
    <n v="20.5"/>
    <s v="Page 1"/>
    <n v="19.5"/>
    <n v="2022"/>
    <s v="Feb"/>
  </r>
  <r>
    <x v="3"/>
    <n v="68"/>
    <s v="New"/>
    <n v="350"/>
    <d v="2022-02-09T00:00:00"/>
    <n v="9"/>
    <n v="88"/>
    <n v="50"/>
    <n v="3.1"/>
    <n v="64"/>
    <n v="29"/>
    <n v="10.199999999999999"/>
    <s v="Paid Search"/>
    <n v="4.8"/>
    <s v="Campaign 1"/>
    <n v="19.7"/>
    <s v="Page 1"/>
    <n v="18"/>
    <n v="2022"/>
    <s v="Feb"/>
  </r>
  <r>
    <x v="4"/>
    <n v="14"/>
    <s v="Returning"/>
    <n v="50"/>
    <d v="2022-02-10T00:00:00"/>
    <n v="14"/>
    <n v="70.63"/>
    <n v="41"/>
    <n v="3.9"/>
    <n v="59.4"/>
    <n v="89"/>
    <n v="15.6"/>
    <s v="Organic"/>
    <n v="23.7"/>
    <s v="Campaign 3"/>
    <n v="15.6"/>
    <s v="Page 1"/>
    <n v="15.1"/>
    <n v="2022"/>
    <s v="Feb"/>
  </r>
  <r>
    <x v="4"/>
    <n v="14"/>
    <s v="New"/>
    <n v="80"/>
    <d v="2022-02-11T00:00:00"/>
    <n v="10"/>
    <n v="65"/>
    <n v="25"/>
    <n v="3.5"/>
    <n v="55"/>
    <n v="65"/>
    <n v="14"/>
    <s v="Organic"/>
    <n v="21.5"/>
    <s v="Campaign 3"/>
    <n v="13.9"/>
    <s v="Page 1"/>
    <n v="14.2"/>
    <n v="2022"/>
    <s v="Feb"/>
  </r>
  <r>
    <x v="5"/>
    <n v="33"/>
    <s v="Returning"/>
    <n v="87"/>
    <d v="2022-02-12T00:00:00"/>
    <n v="19"/>
    <n v="65.34"/>
    <n v="26"/>
    <n v="4.0999999999999996"/>
    <n v="52.3"/>
    <n v="93"/>
    <n v="16.2"/>
    <s v="Direct"/>
    <n v="18.899999999999999"/>
    <s v="Campaign 4"/>
    <n v="13.8"/>
    <s v="Page 2"/>
    <n v="10.7"/>
    <n v="2022"/>
    <s v="Feb"/>
  </r>
  <r>
    <x v="5"/>
    <n v="33"/>
    <s v="New"/>
    <n v="250"/>
    <d v="2022-02-13T00:00:00"/>
    <n v="15"/>
    <n v="60.2"/>
    <n v="27"/>
    <n v="3.8"/>
    <n v="50.5"/>
    <n v="75"/>
    <n v="15"/>
    <s v="Direct"/>
    <n v="17.8"/>
    <s v="Campaign 4"/>
    <n v="12"/>
    <s v="Page 2"/>
    <n v="9.5"/>
    <n v="2022"/>
    <s v="Feb"/>
  </r>
  <r>
    <x v="0"/>
    <n v="91"/>
    <s v="Returning"/>
    <n v="40"/>
    <d v="2022-02-14T00:00:00"/>
    <n v="47"/>
    <n v="54.88"/>
    <n v="77"/>
    <n v="4.4000000000000004"/>
    <n v="61.5"/>
    <n v="66"/>
    <n v="17.100000000000001"/>
    <s v="Paid Search"/>
    <n v="6.2"/>
    <s v="Campaign 2"/>
    <n v="17.399999999999999"/>
    <s v="Page 3"/>
    <n v="22.2"/>
    <n v="2022"/>
    <s v="Feb"/>
  </r>
  <r>
    <x v="0"/>
    <n v="91"/>
    <s v="New"/>
    <n v="30"/>
    <d v="2022-02-15T00:00:00"/>
    <n v="35"/>
    <n v="56.3"/>
    <n v="73"/>
    <n v="3.9"/>
    <n v="59.2"/>
    <n v="56"/>
    <n v="16"/>
    <s v="Paid Search"/>
    <n v="6"/>
    <s v="Campaign 2"/>
    <n v="16.8"/>
    <s v="Page 3"/>
    <n v="21.5"/>
    <n v="2022"/>
    <s v="Feb"/>
  </r>
  <r>
    <x v="1"/>
    <n v="44"/>
    <s v="Returning"/>
    <n v="46"/>
    <d v="2022-02-16T00:00:00"/>
    <n v="44"/>
    <n v="91.47"/>
    <n v="49"/>
    <n v="2.7"/>
    <n v="47.8"/>
    <n v="32"/>
    <n v="18"/>
    <s v="Direct"/>
    <n v="27.5"/>
    <s v="Campaign 2"/>
    <n v="8.1"/>
    <s v="Page 1"/>
    <n v="6.9"/>
    <n v="2022"/>
    <s v="Feb"/>
  </r>
  <r>
    <x v="1"/>
    <n v="44"/>
    <s v="New"/>
    <n v="135"/>
    <d v="2022-02-17T00:00:00"/>
    <n v="32"/>
    <n v="85.3"/>
    <n v="35"/>
    <n v="2.5"/>
    <n v="45"/>
    <n v="29"/>
    <n v="17.5"/>
    <s v="Direct"/>
    <n v="26"/>
    <s v="Campaign 2"/>
    <n v="7.5"/>
    <s v="Page 1"/>
    <n v="6.3"/>
    <n v="2022"/>
    <s v="Feb"/>
  </r>
  <r>
    <x v="2"/>
    <n v="26"/>
    <s v="Returning"/>
    <n v="42"/>
    <d v="2022-02-18T00:00:00"/>
    <n v="8"/>
    <n v="6.04"/>
    <n v="78"/>
    <n v="3.2"/>
    <n v="48.7"/>
    <n v="34"/>
    <n v="5.8"/>
    <s v="Organic"/>
    <n v="23.6"/>
    <s v="Campaign 2"/>
    <n v="18.399999999999999"/>
    <s v="Page 3"/>
    <n v="11.6"/>
    <n v="2022"/>
    <s v="Feb"/>
  </r>
  <r>
    <x v="2"/>
    <n v="26"/>
    <s v="New"/>
    <n v="30"/>
    <d v="2022-02-19T00:00:00"/>
    <n v="10"/>
    <n v="7.5"/>
    <n v="75"/>
    <n v="3"/>
    <n v="46.2"/>
    <n v="27"/>
    <n v="5.5"/>
    <s v="Organic"/>
    <n v="22"/>
    <s v="Campaign 2"/>
    <n v="16.7"/>
    <s v="Page 3"/>
    <n v="10.8"/>
    <n v="2022"/>
    <s v="Feb"/>
  </r>
  <r>
    <x v="3"/>
    <n v="68"/>
    <s v="Returning"/>
    <n v="43"/>
    <d v="2022-02-20T00:00:00"/>
    <n v="11"/>
    <n v="90"/>
    <n v="54"/>
    <n v="3.3"/>
    <n v="7.8"/>
    <n v="33"/>
    <n v="11"/>
    <s v="Paid Search"/>
    <n v="5.3"/>
    <s v="Campaign 1"/>
    <n v="20.5"/>
    <s v="Page 1"/>
    <n v="19.5"/>
    <n v="2022"/>
    <s v="Feb"/>
  </r>
  <r>
    <x v="3"/>
    <n v="68"/>
    <s v="New"/>
    <n v="35"/>
    <d v="2022-02-21T00:00:00"/>
    <n v="9"/>
    <n v="88"/>
    <n v="50"/>
    <n v="3.1"/>
    <n v="4"/>
    <n v="29"/>
    <n v="10.199999999999999"/>
    <s v="Paid Search"/>
    <n v="4.8"/>
    <s v="Campaign 1"/>
    <n v="19.7"/>
    <s v="Page 1"/>
    <n v="18"/>
    <n v="2022"/>
    <s v="Feb"/>
  </r>
  <r>
    <x v="4"/>
    <n v="14"/>
    <s v="Returning"/>
    <n v="100"/>
    <d v="2022-02-22T00:00:00"/>
    <n v="14"/>
    <n v="70.63"/>
    <n v="41"/>
    <n v="3.9"/>
    <n v="59.4"/>
    <n v="89"/>
    <n v="15.6"/>
    <s v="Organic"/>
    <n v="23.7"/>
    <s v="Campaign 3"/>
    <n v="15.6"/>
    <s v="Page 1"/>
    <n v="15.1"/>
    <n v="2022"/>
    <s v="Feb"/>
  </r>
  <r>
    <x v="4"/>
    <n v="14"/>
    <s v="New"/>
    <n v="8"/>
    <d v="2022-02-23T00:00:00"/>
    <n v="10"/>
    <n v="65"/>
    <n v="25"/>
    <n v="3.5"/>
    <n v="55"/>
    <n v="65"/>
    <n v="14"/>
    <s v="Organic"/>
    <n v="21.5"/>
    <s v="Campaign 3"/>
    <n v="13.9"/>
    <s v="Page 1"/>
    <n v="14.2"/>
    <n v="2022"/>
    <s v="Feb"/>
  </r>
  <r>
    <x v="5"/>
    <n v="33"/>
    <s v="Returning"/>
    <n v="38"/>
    <d v="2022-02-24T00:00:00"/>
    <n v="19"/>
    <n v="65.34"/>
    <n v="26"/>
    <n v="4.0999999999999996"/>
    <n v="20"/>
    <n v="93"/>
    <n v="16.2"/>
    <s v="Direct"/>
    <n v="18.899999999999999"/>
    <s v="Campaign 4"/>
    <n v="13.8"/>
    <s v="Page 2"/>
    <n v="10.7"/>
    <n v="2022"/>
    <s v="Feb"/>
  </r>
  <r>
    <x v="5"/>
    <n v="33"/>
    <s v="New"/>
    <n v="25"/>
    <d v="2022-02-25T00:00:00"/>
    <n v="15"/>
    <n v="60.2"/>
    <n v="27"/>
    <n v="3.8"/>
    <n v="50.5"/>
    <n v="75"/>
    <n v="15"/>
    <s v="Direct"/>
    <n v="17.8"/>
    <s v="Campaign 4"/>
    <n v="12"/>
    <s v="Page 2"/>
    <n v="9.5"/>
    <n v="2022"/>
    <s v="Feb"/>
  </r>
  <r>
    <x v="0"/>
    <n v="91"/>
    <s v="Returning"/>
    <n v="40"/>
    <d v="2022-02-26T00:00:00"/>
    <n v="47"/>
    <n v="54.88"/>
    <n v="77"/>
    <n v="4.4000000000000004"/>
    <n v="1.5"/>
    <n v="66"/>
    <n v="17.100000000000001"/>
    <s v="Paid Search"/>
    <n v="6.2"/>
    <s v="Campaign 2"/>
    <n v="17.399999999999999"/>
    <s v="Page 3"/>
    <n v="22.2"/>
    <n v="2022"/>
    <s v="Feb"/>
  </r>
  <r>
    <x v="0"/>
    <n v="91"/>
    <s v="New"/>
    <n v="30"/>
    <d v="2022-02-27T00:00:00"/>
    <n v="35"/>
    <n v="56.3"/>
    <n v="73"/>
    <n v="3.9"/>
    <n v="59.2"/>
    <n v="56"/>
    <n v="16"/>
    <s v="Paid Search"/>
    <n v="6"/>
    <s v="Campaign 2"/>
    <n v="16.8"/>
    <s v="Page 3"/>
    <n v="21.5"/>
    <n v="2022"/>
    <s v="Feb"/>
  </r>
  <r>
    <x v="1"/>
    <n v="44"/>
    <s v="Returning"/>
    <n v="46"/>
    <d v="2022-02-28T00:00:00"/>
    <n v="44"/>
    <n v="91.47"/>
    <n v="49"/>
    <n v="2.7"/>
    <n v="47.8"/>
    <n v="32"/>
    <n v="18"/>
    <s v="Direct"/>
    <n v="27.5"/>
    <s v="Campaign 2"/>
    <n v="8.1"/>
    <s v="Page 1"/>
    <n v="6.9"/>
    <n v="2022"/>
    <s v="Feb"/>
  </r>
  <r>
    <x v="1"/>
    <n v="44"/>
    <s v="New"/>
    <n v="135"/>
    <d v="2022-03-01T00:00:00"/>
    <n v="32"/>
    <n v="85.3"/>
    <n v="35"/>
    <n v="2.5"/>
    <n v="45"/>
    <n v="29"/>
    <n v="17.5"/>
    <s v="Direct"/>
    <n v="26"/>
    <s v="Campaign 2"/>
    <n v="7.5"/>
    <s v="Page 1"/>
    <n v="6.3"/>
    <n v="2022"/>
    <s v="Mar"/>
  </r>
  <r>
    <x v="2"/>
    <n v="26"/>
    <s v="Returning"/>
    <n v="42"/>
    <d v="2022-03-02T00:00:00"/>
    <n v="8"/>
    <n v="6.04"/>
    <n v="78"/>
    <n v="3.2"/>
    <n v="48.7"/>
    <n v="34"/>
    <n v="5.8"/>
    <s v="Organic"/>
    <n v="23.6"/>
    <s v="Campaign 2"/>
    <n v="18.399999999999999"/>
    <s v="Page 3"/>
    <n v="11.6"/>
    <n v="2022"/>
    <s v="Mar"/>
  </r>
  <r>
    <x v="2"/>
    <n v="26"/>
    <s v="New"/>
    <n v="30"/>
    <d v="2022-03-03T00:00:00"/>
    <n v="10"/>
    <n v="7.5"/>
    <n v="75"/>
    <n v="3"/>
    <n v="46.2"/>
    <n v="27"/>
    <n v="5.5"/>
    <s v="Organic"/>
    <n v="22"/>
    <s v="Campaign 2"/>
    <n v="16.7"/>
    <s v="Page 3"/>
    <n v="10.8"/>
    <n v="2022"/>
    <s v="Mar"/>
  </r>
  <r>
    <x v="3"/>
    <n v="68"/>
    <s v="Returning"/>
    <n v="143"/>
    <d v="2022-03-04T00:00:00"/>
    <n v="11"/>
    <n v="90"/>
    <n v="54"/>
    <n v="3.3"/>
    <n v="67.8"/>
    <n v="33"/>
    <n v="11"/>
    <s v="Paid Search"/>
    <n v="5.3"/>
    <s v="Campaign 1"/>
    <n v="20.5"/>
    <s v="Page 1"/>
    <n v="19.5"/>
    <n v="2022"/>
    <s v="Mar"/>
  </r>
  <r>
    <x v="3"/>
    <n v="68"/>
    <s v="New"/>
    <n v="35"/>
    <d v="2022-03-05T00:00:00"/>
    <n v="9"/>
    <n v="88"/>
    <n v="50"/>
    <n v="3.1"/>
    <n v="64"/>
    <n v="29"/>
    <n v="10.199999999999999"/>
    <s v="Paid Search"/>
    <n v="4.8"/>
    <s v="Campaign 1"/>
    <n v="19.7"/>
    <s v="Page 1"/>
    <n v="18"/>
    <n v="2022"/>
    <s v="Mar"/>
  </r>
  <r>
    <x v="4"/>
    <n v="14"/>
    <s v="Returning"/>
    <n v="10"/>
    <d v="2022-03-06T00:00:00"/>
    <n v="14"/>
    <n v="70.63"/>
    <n v="41"/>
    <n v="3.9"/>
    <n v="59.4"/>
    <n v="89"/>
    <n v="15.6"/>
    <s v="Organic"/>
    <n v="23.7"/>
    <s v="Campaign 3"/>
    <n v="15.6"/>
    <s v="Page 1"/>
    <n v="15.1"/>
    <n v="2022"/>
    <s v="Mar"/>
  </r>
  <r>
    <x v="4"/>
    <n v="14"/>
    <s v="New"/>
    <n v="80"/>
    <d v="2022-03-07T00:00:00"/>
    <n v="10"/>
    <n v="65"/>
    <n v="25"/>
    <n v="3.5"/>
    <n v="55"/>
    <n v="65"/>
    <n v="14"/>
    <s v="Organic"/>
    <n v="21.5"/>
    <s v="Campaign 3"/>
    <n v="13.9"/>
    <s v="Page 1"/>
    <n v="14.2"/>
    <n v="2022"/>
    <s v="Mar"/>
  </r>
  <r>
    <x v="5"/>
    <n v="33"/>
    <s v="Returning"/>
    <n v="38"/>
    <d v="2022-03-08T00:00:00"/>
    <n v="19"/>
    <n v="65.34"/>
    <n v="26"/>
    <n v="4.0999999999999996"/>
    <n v="52.3"/>
    <n v="93"/>
    <n v="16.2"/>
    <s v="Direct"/>
    <n v="18.899999999999999"/>
    <s v="Campaign 4"/>
    <n v="13.8"/>
    <s v="Page 2"/>
    <n v="10.7"/>
    <n v="2022"/>
    <s v="Mar"/>
  </r>
  <r>
    <x v="5"/>
    <n v="33"/>
    <s v="New"/>
    <n v="125"/>
    <d v="2022-03-09T00:00:00"/>
    <n v="15"/>
    <n v="60.2"/>
    <n v="27"/>
    <n v="3.8"/>
    <n v="50.5"/>
    <n v="75"/>
    <n v="15"/>
    <s v="Direct"/>
    <n v="17.8"/>
    <s v="Campaign 4"/>
    <n v="12"/>
    <s v="Page 2"/>
    <n v="9.5"/>
    <n v="2022"/>
    <s v="Mar"/>
  </r>
  <r>
    <x v="0"/>
    <n v="91"/>
    <s v="Returning"/>
    <n v="56"/>
    <d v="2022-03-10T00:00:00"/>
    <n v="55"/>
    <n v="54.88"/>
    <n v="77"/>
    <n v="4.3"/>
    <n v="1.5"/>
    <n v="71"/>
    <n v="17.100000000000001"/>
    <s v="Paid Search"/>
    <n v="6.2"/>
    <s v="Campaign 2"/>
    <n v="17.399999999999999"/>
    <s v="Page 3"/>
    <n v="22.2"/>
    <n v="2022"/>
    <s v="Mar"/>
  </r>
  <r>
    <x v="0"/>
    <n v="91"/>
    <s v="New"/>
    <n v="24"/>
    <d v="2022-03-11T00:00:00"/>
    <n v="28"/>
    <n v="56.3"/>
    <n v="73"/>
    <n v="3.5"/>
    <n v="5"/>
    <n v="55"/>
    <n v="16"/>
    <s v="Paid Search"/>
    <n v="6"/>
    <s v="Campaign 2"/>
    <n v="16.8"/>
    <s v="Page 3"/>
    <n v="21.5"/>
    <n v="2022"/>
    <s v="Mar"/>
  </r>
  <r>
    <x v="1"/>
    <n v="44"/>
    <s v="Returning"/>
    <n v="40"/>
    <d v="2022-03-12T00:00:00"/>
    <n v="48"/>
    <n v="91.47"/>
    <n v="49"/>
    <n v="3"/>
    <n v="47.8"/>
    <n v="33"/>
    <n v="18"/>
    <s v="Direct"/>
    <n v="27.5"/>
    <s v="Campaign 2"/>
    <n v="8.1"/>
    <s v="Page 1"/>
    <n v="6.9"/>
    <n v="2022"/>
    <s v="Mar"/>
  </r>
  <r>
    <x v="1"/>
    <n v="44"/>
    <s v="New"/>
    <n v="37"/>
    <d v="2022-03-13T00:00:00"/>
    <n v="39"/>
    <n v="85.3"/>
    <n v="35"/>
    <n v="2.8"/>
    <n v="45"/>
    <n v="28"/>
    <n v="17.5"/>
    <s v="Direct"/>
    <n v="26"/>
    <s v="Campaign 2"/>
    <n v="7.5"/>
    <s v="Page 1"/>
    <n v="6.3"/>
    <n v="2022"/>
    <s v="Mar"/>
  </r>
  <r>
    <x v="2"/>
    <n v="26"/>
    <s v="Returning"/>
    <n v="133"/>
    <d v="2022-03-14T00:00:00"/>
    <n v="10"/>
    <n v="6.04"/>
    <n v="78"/>
    <n v="3.1"/>
    <n v="48.7"/>
    <n v="35"/>
    <n v="5.8"/>
    <s v="Organic"/>
    <n v="23.6"/>
    <s v="Campaign 2"/>
    <n v="18.399999999999999"/>
    <s v="Page 3"/>
    <n v="11.6"/>
    <n v="2022"/>
    <s v="Mar"/>
  </r>
  <r>
    <x v="2"/>
    <n v="26"/>
    <s v="New"/>
    <n v="39"/>
    <d v="2022-03-15T00:00:00"/>
    <n v="15"/>
    <n v="7.5"/>
    <n v="75"/>
    <n v="3.2"/>
    <n v="46.2"/>
    <n v="30"/>
    <n v="5.5"/>
    <s v="Organic"/>
    <n v="22"/>
    <s v="Campaign 2"/>
    <n v="16.7"/>
    <s v="Page 3"/>
    <n v="10.8"/>
    <n v="2022"/>
    <s v="Mar"/>
  </r>
  <r>
    <x v="3"/>
    <n v="68"/>
    <s v="Returning"/>
    <n v="60"/>
    <d v="2022-03-16T00:00:00"/>
    <n v="16"/>
    <n v="90"/>
    <n v="54"/>
    <n v="3.5"/>
    <n v="67.8"/>
    <n v="34"/>
    <n v="11"/>
    <s v="Paid Search"/>
    <n v="5.3"/>
    <s v="Campaign 1"/>
    <n v="20.5"/>
    <s v="Page 1"/>
    <n v="19.5"/>
    <n v="2022"/>
    <s v="Mar"/>
  </r>
  <r>
    <x v="3"/>
    <n v="68"/>
    <s v="New"/>
    <n v="333"/>
    <d v="2022-03-17T00:00:00"/>
    <n v="12"/>
    <n v="88"/>
    <n v="50"/>
    <n v="3.2"/>
    <n v="64"/>
    <n v="29"/>
    <n v="10.199999999999999"/>
    <s v="Paid Search"/>
    <n v="4.8"/>
    <s v="Campaign 1"/>
    <n v="19.7"/>
    <s v="Page 1"/>
    <n v="18"/>
    <n v="2022"/>
    <s v="Mar"/>
  </r>
  <r>
    <x v="4"/>
    <n v="14"/>
    <s v="Returning"/>
    <n v="6"/>
    <d v="2022-03-18T00:00:00"/>
    <n v="18"/>
    <n v="70.63"/>
    <n v="41"/>
    <n v="4.0999999999999996"/>
    <n v="59.4"/>
    <n v="95"/>
    <n v="15.6"/>
    <s v="Organic"/>
    <n v="23.7"/>
    <s v="Campaign 3"/>
    <n v="15.6"/>
    <s v="Page 1"/>
    <n v="15.1"/>
    <n v="2022"/>
    <s v="Mar"/>
  </r>
  <r>
    <x v="4"/>
    <n v="14"/>
    <s v="New"/>
    <n v="13"/>
    <d v="2022-03-19T00:00:00"/>
    <n v="9"/>
    <n v="65"/>
    <n v="25"/>
    <n v="3.4"/>
    <n v="55"/>
    <n v="64"/>
    <n v="14"/>
    <s v="Organic"/>
    <n v="21.5"/>
    <s v="Campaign 3"/>
    <n v="13.9"/>
    <s v="Page 1"/>
    <n v="14.2"/>
    <n v="2022"/>
    <s v="Mar"/>
  </r>
  <r>
    <x v="5"/>
    <n v="33"/>
    <s v="Returning"/>
    <n v="32"/>
    <d v="2022-03-20T00:00:00"/>
    <n v="19"/>
    <n v="65.34"/>
    <n v="26"/>
    <n v="4.2"/>
    <n v="2"/>
    <n v="94"/>
    <n v="16.2"/>
    <s v="Direct"/>
    <n v="18.899999999999999"/>
    <s v="Campaign 4"/>
    <n v="13.8"/>
    <s v="Page 2"/>
    <n v="10.7"/>
    <n v="2022"/>
    <s v="Mar"/>
  </r>
  <r>
    <x v="5"/>
    <n v="33"/>
    <s v="New"/>
    <n v="29"/>
    <d v="2022-03-21T00:00:00"/>
    <n v="14"/>
    <n v="60.2"/>
    <n v="27"/>
    <n v="3.9"/>
    <n v="50.5"/>
    <n v="75"/>
    <n v="15"/>
    <s v="Direct"/>
    <n v="17.8"/>
    <s v="Campaign 4"/>
    <n v="12"/>
    <s v="Page 2"/>
    <n v="9.5"/>
    <n v="2022"/>
    <s v="Mar"/>
  </r>
  <r>
    <x v="0"/>
    <n v="91"/>
    <s v="Returning"/>
    <n v="156"/>
    <d v="2022-03-22T00:00:00"/>
    <n v="55"/>
    <n v="54.88"/>
    <n v="77"/>
    <n v="4.3"/>
    <n v="61.5"/>
    <n v="71"/>
    <n v="17.100000000000001"/>
    <s v="Paid Search"/>
    <n v="6.2"/>
    <s v="Campaign 2"/>
    <n v="17.399999999999999"/>
    <s v="Page 3"/>
    <n v="22.2"/>
    <n v="2022"/>
    <s v="Mar"/>
  </r>
  <r>
    <x v="0"/>
    <n v="91"/>
    <s v="New"/>
    <n v="24"/>
    <d v="2022-03-23T00:00:00"/>
    <n v="28"/>
    <n v="56.3"/>
    <n v="73"/>
    <n v="3.5"/>
    <n v="59.2"/>
    <n v="55"/>
    <n v="16"/>
    <s v="Paid Search"/>
    <n v="6"/>
    <s v="Campaign 2"/>
    <n v="16.8"/>
    <s v="Page 3"/>
    <n v="21.5"/>
    <n v="2022"/>
    <s v="Mar"/>
  </r>
  <r>
    <x v="1"/>
    <n v="44"/>
    <s v="Returning"/>
    <n v="40"/>
    <d v="2022-03-24T00:00:00"/>
    <n v="48"/>
    <n v="91.47"/>
    <n v="49"/>
    <n v="3"/>
    <n v="47.8"/>
    <n v="33"/>
    <n v="18"/>
    <s v="Direct"/>
    <n v="27.5"/>
    <s v="Campaign 2"/>
    <n v="8.1"/>
    <s v="Page 1"/>
    <n v="6.9"/>
    <n v="2022"/>
    <s v="Mar"/>
  </r>
  <r>
    <x v="1"/>
    <n v="44"/>
    <s v="New"/>
    <n v="37"/>
    <d v="2022-03-25T00:00:00"/>
    <n v="39"/>
    <n v="85.3"/>
    <n v="35"/>
    <n v="2.8"/>
    <n v="45"/>
    <n v="28"/>
    <n v="17.5"/>
    <s v="Direct"/>
    <n v="26"/>
    <s v="Campaign 2"/>
    <n v="7.5"/>
    <s v="Page 1"/>
    <n v="6.3"/>
    <n v="2022"/>
    <s v="Mar"/>
  </r>
  <r>
    <x v="2"/>
    <n v="26"/>
    <s v="Returning"/>
    <n v="33"/>
    <d v="2022-03-26T00:00:00"/>
    <n v="10"/>
    <n v="6.04"/>
    <n v="78"/>
    <n v="3.1"/>
    <n v="48.7"/>
    <n v="35"/>
    <n v="5.8"/>
    <s v="Organic"/>
    <n v="23.6"/>
    <s v="Campaign 2"/>
    <n v="18.399999999999999"/>
    <s v="Page 3"/>
    <n v="11.6"/>
    <n v="2022"/>
    <s v="Mar"/>
  </r>
  <r>
    <x v="2"/>
    <n v="26"/>
    <s v="New"/>
    <n v="139"/>
    <d v="2022-03-27T00:00:00"/>
    <n v="15"/>
    <n v="7.5"/>
    <n v="75"/>
    <n v="3.2"/>
    <n v="46.2"/>
    <n v="30"/>
    <n v="5.5"/>
    <s v="Organic"/>
    <n v="22"/>
    <s v="Campaign 2"/>
    <n v="16.7"/>
    <s v="Page 3"/>
    <n v="10.8"/>
    <n v="2022"/>
    <s v="Mar"/>
  </r>
  <r>
    <x v="3"/>
    <n v="68"/>
    <s v="Returning"/>
    <n v="160"/>
    <d v="2022-03-28T00:00:00"/>
    <n v="16"/>
    <n v="90"/>
    <n v="54"/>
    <n v="3.5"/>
    <n v="67.8"/>
    <n v="34"/>
    <n v="11"/>
    <s v="Paid Search"/>
    <n v="5.3"/>
    <s v="Campaign 1"/>
    <n v="20.5"/>
    <s v="Page 1"/>
    <n v="19.5"/>
    <n v="2022"/>
    <s v="Mar"/>
  </r>
  <r>
    <x v="3"/>
    <n v="68"/>
    <s v="New"/>
    <n v="3"/>
    <d v="2022-03-29T00:00:00"/>
    <n v="12"/>
    <n v="88"/>
    <n v="50"/>
    <n v="3.2"/>
    <n v="4"/>
    <n v="29"/>
    <n v="10.199999999999999"/>
    <s v="Paid Search"/>
    <n v="4.8"/>
    <s v="Campaign 1"/>
    <n v="19.7"/>
    <s v="Page 1"/>
    <n v="18"/>
    <n v="2022"/>
    <s v="Mar"/>
  </r>
  <r>
    <x v="4"/>
    <n v="14"/>
    <s v="Returning"/>
    <n v="6"/>
    <d v="2022-03-30T00:00:00"/>
    <n v="18"/>
    <n v="70.63"/>
    <n v="41"/>
    <n v="4.0999999999999996"/>
    <n v="59.4"/>
    <n v="95"/>
    <n v="15.6"/>
    <s v="Organic"/>
    <n v="23.7"/>
    <s v="Campaign 3"/>
    <n v="15.6"/>
    <s v="Page 1"/>
    <n v="15.1"/>
    <n v="2022"/>
    <s v="Mar"/>
  </r>
  <r>
    <x v="4"/>
    <n v="14"/>
    <s v="New"/>
    <n v="3"/>
    <d v="2022-03-31T00:00:00"/>
    <n v="9"/>
    <n v="65"/>
    <n v="25"/>
    <n v="3.4"/>
    <n v="55"/>
    <n v="64"/>
    <n v="14"/>
    <s v="Organic"/>
    <n v="21.5"/>
    <s v="Campaign 3"/>
    <n v="13.9"/>
    <s v="Page 1"/>
    <n v="14.2"/>
    <n v="2022"/>
    <s v="Mar"/>
  </r>
  <r>
    <x v="5"/>
    <n v="33"/>
    <s v="Returning"/>
    <n v="32"/>
    <d v="2022-04-01T00:00:00"/>
    <n v="19"/>
    <n v="65.34"/>
    <n v="26"/>
    <n v="4.2"/>
    <n v="52.3"/>
    <n v="94"/>
    <n v="16.2"/>
    <s v="Direct"/>
    <n v="18.899999999999999"/>
    <s v="Campaign 4"/>
    <n v="13.8"/>
    <s v="Page 2"/>
    <n v="10.7"/>
    <n v="2022"/>
    <s v="Apr"/>
  </r>
  <r>
    <x v="5"/>
    <n v="33"/>
    <s v="New"/>
    <n v="129"/>
    <d v="2022-04-02T00:00:00"/>
    <n v="14"/>
    <n v="60.2"/>
    <n v="27"/>
    <n v="3.9"/>
    <n v="50.5"/>
    <n v="75"/>
    <n v="15"/>
    <s v="Direct"/>
    <n v="17.8"/>
    <s v="Campaign 4"/>
    <n v="12"/>
    <s v="Page 2"/>
    <n v="9.5"/>
    <n v="2022"/>
    <s v="Apr"/>
  </r>
  <r>
    <x v="0"/>
    <n v="91"/>
    <s v="Returning"/>
    <n v="58"/>
    <d v="2022-04-03T00:00:00"/>
    <n v="54"/>
    <n v="55.5"/>
    <n v="77"/>
    <n v="4.0999999999999996"/>
    <n v="60"/>
    <n v="72"/>
    <n v="17.3"/>
    <s v="Paid Search"/>
    <n v="6.5"/>
    <s v="Campaign 2"/>
    <n v="18.2"/>
    <s v="Page 3"/>
    <n v="23"/>
    <n v="2022"/>
    <s v="Apr"/>
  </r>
  <r>
    <x v="0"/>
    <n v="91"/>
    <s v="New"/>
    <n v="22"/>
    <d v="2022-04-04T00:00:00"/>
    <n v="26"/>
    <n v="58"/>
    <n v="70"/>
    <n v="3.8"/>
    <n v="58"/>
    <n v="54"/>
    <n v="15.5"/>
    <s v="Paid Search"/>
    <n v="5.8"/>
    <s v="Campaign 2"/>
    <n v="15"/>
    <s v="Page 3"/>
    <n v="20"/>
    <n v="2022"/>
    <s v="Apr"/>
  </r>
  <r>
    <x v="1"/>
    <n v="44"/>
    <s v="Returning"/>
    <n v="45"/>
    <d v="2022-04-05T00:00:00"/>
    <n v="49"/>
    <n v="90"/>
    <n v="45"/>
    <n v="3.1"/>
    <n v="48.5"/>
    <n v="33"/>
    <n v="18.5"/>
    <s v="Direct"/>
    <n v="25"/>
    <s v="Campaign 2"/>
    <n v="9"/>
    <s v="Page 1"/>
    <n v="7.5"/>
    <n v="2022"/>
    <s v="Apr"/>
  </r>
  <r>
    <x v="1"/>
    <n v="44"/>
    <s v="New"/>
    <n v="134"/>
    <d v="2022-04-06T00:00:00"/>
    <n v="37"/>
    <n v="87"/>
    <n v="40"/>
    <n v="2.9"/>
    <n v="46"/>
    <n v="27"/>
    <n v="16.5"/>
    <s v="Direct"/>
    <n v="24"/>
    <s v="Campaign 2"/>
    <n v="8"/>
    <s v="Page 1"/>
    <n v="6.5"/>
    <n v="2022"/>
    <s v="Apr"/>
  </r>
  <r>
    <x v="2"/>
    <n v="26"/>
    <s v="Returning"/>
    <n v="37"/>
    <d v="2022-04-07T00:00:00"/>
    <n v="8"/>
    <n v="5"/>
    <n v="76"/>
    <n v="3"/>
    <n v="47"/>
    <n v="37"/>
    <n v="6"/>
    <s v="Organic"/>
    <n v="20"/>
    <s v="Campaign 2"/>
    <n v="16"/>
    <s v="Page 3"/>
    <n v="12"/>
    <n v="2022"/>
    <s v="Apr"/>
  </r>
  <r>
    <x v="2"/>
    <n v="26"/>
    <s v="New"/>
    <n v="29"/>
    <d v="2022-04-08T00:00:00"/>
    <n v="10"/>
    <n v="7"/>
    <n v="74"/>
    <n v="3.2"/>
    <n v="44"/>
    <n v="31"/>
    <n v="5.5"/>
    <s v="Organic"/>
    <n v="19"/>
    <s v="Campaign 2"/>
    <n v="15"/>
    <s v="Page 3"/>
    <n v="11.5"/>
    <n v="2022"/>
    <s v="Apr"/>
  </r>
  <r>
    <x v="3"/>
    <n v="68"/>
    <s v="Returning"/>
    <n v="61"/>
    <d v="2022-04-09T00:00:00"/>
    <n v="14"/>
    <n v="91.5"/>
    <n v="55"/>
    <n v="3.6"/>
    <n v="68"/>
    <n v="35"/>
    <n v="12"/>
    <s v="Paid Search"/>
    <n v="5"/>
    <s v="Campaign 1"/>
    <n v="18"/>
    <s v="Page 1"/>
    <n v="19"/>
    <n v="2022"/>
    <s v="Apr"/>
  </r>
  <r>
    <x v="3"/>
    <n v="68"/>
    <s v="New"/>
    <n v="130"/>
    <d v="2022-04-10T00:00:00"/>
    <n v="11"/>
    <n v="89"/>
    <n v="53"/>
    <n v="3"/>
    <n v="65"/>
    <n v="28"/>
    <n v="10"/>
    <s v="Paid Search"/>
    <n v="4.5"/>
    <s v="Campaign 1"/>
    <n v="16"/>
    <s v="Page 1"/>
    <n v="17"/>
    <n v="2022"/>
    <s v="Apr"/>
  </r>
  <r>
    <x v="4"/>
    <n v="14"/>
    <s v="Returning"/>
    <n v="8"/>
    <d v="2022-04-11T00:00:00"/>
    <n v="17"/>
    <n v="72"/>
    <n v="42"/>
    <n v="4.2"/>
    <n v="0"/>
    <n v="96"/>
    <n v="14.5"/>
    <s v="Organic"/>
    <n v="21"/>
    <s v="Campaign 3"/>
    <n v="16"/>
    <s v="Page 1"/>
    <n v="15.5"/>
    <n v="2022"/>
    <s v="Apr"/>
  </r>
  <r>
    <x v="4"/>
    <n v="14"/>
    <s v="New"/>
    <n v="115"/>
    <d v="2022-04-12T00:00:00"/>
    <n v="8"/>
    <n v="67"/>
    <n v="27"/>
    <n v="3.7"/>
    <n v="56"/>
    <n v="62"/>
    <n v="12.5"/>
    <s v="Organic"/>
    <n v="20.5"/>
    <s v="Campaign 3"/>
    <n v="14"/>
    <s v="Page 1"/>
    <n v="13.5"/>
    <n v="2022"/>
    <s v="Apr"/>
  </r>
  <r>
    <x v="5"/>
    <n v="33"/>
    <s v="Returning"/>
    <n v="133"/>
    <d v="2022-04-13T00:00:00"/>
    <n v="20"/>
    <n v="63"/>
    <n v="28"/>
    <n v="4.3"/>
    <n v="53"/>
    <n v="96"/>
    <n v="15"/>
    <s v="Direct"/>
    <n v="19"/>
    <s v="Campaign 4"/>
    <n v="14"/>
    <s v="Page 2"/>
    <n v="11"/>
    <n v="2022"/>
    <s v="Apr"/>
  </r>
  <r>
    <x v="5"/>
    <n v="33"/>
    <s v="New"/>
    <n v="26"/>
    <d v="2022-04-14T00:00:00"/>
    <n v="15"/>
    <n v="59"/>
    <n v="29"/>
    <n v="3.9"/>
    <n v="51"/>
    <n v="80"/>
    <n v="14"/>
    <s v="Direct"/>
    <n v="18"/>
    <s v="Campaign 4"/>
    <n v="13"/>
    <s v="Page 2"/>
    <n v="10"/>
    <n v="2022"/>
    <s v="Apr"/>
  </r>
  <r>
    <x v="0"/>
    <n v="91"/>
    <s v="Returning"/>
    <n v="54"/>
    <d v="2022-04-15T00:00:00"/>
    <n v="52"/>
    <n v="54"/>
    <n v="77"/>
    <n v="4.4000000000000004"/>
    <n v="59"/>
    <n v="73"/>
    <n v="16"/>
    <s v="Paid Search"/>
    <n v="7"/>
    <s v="Campaign 2"/>
    <n v="15"/>
    <s v="Page 3"/>
    <n v="22"/>
    <n v="2022"/>
    <s v="Apr"/>
  </r>
  <r>
    <x v="0"/>
    <n v="91"/>
    <s v="New"/>
    <n v="2"/>
    <d v="2022-04-16T00:00:00"/>
    <n v="27"/>
    <n v="56"/>
    <n v="70"/>
    <n v="3.8"/>
    <n v="58"/>
    <n v="58"/>
    <n v="14"/>
    <s v="Paid Search"/>
    <n v="6"/>
    <s v="Campaign 2"/>
    <n v="14"/>
    <s v="Page 3"/>
    <n v="21"/>
    <n v="2022"/>
    <s v="Apr"/>
  </r>
  <r>
    <x v="1"/>
    <n v="44"/>
    <s v="Returning"/>
    <n v="42"/>
    <d v="2022-04-17T00:00:00"/>
    <n v="45"/>
    <n v="89"/>
    <n v="45"/>
    <n v="3.2"/>
    <n v="45"/>
    <n v="31"/>
    <n v="17"/>
    <s v="Direct"/>
    <n v="26"/>
    <s v="Campaign 2"/>
    <n v="7"/>
    <s v="Page 1"/>
    <n v="7"/>
    <n v="2022"/>
    <s v="Apr"/>
  </r>
  <r>
    <x v="1"/>
    <n v="44"/>
    <s v="New"/>
    <n v="39"/>
    <d v="2022-04-18T00:00:00"/>
    <n v="38"/>
    <n v="85"/>
    <n v="35"/>
    <n v="2.8"/>
    <n v="44"/>
    <n v="27"/>
    <n v="16"/>
    <s v="Direct"/>
    <n v="25"/>
    <s v="Campaign 2"/>
    <n v="6.5"/>
    <s v="Page 1"/>
    <n v="6.5"/>
    <n v="2022"/>
    <s v="Apr"/>
  </r>
  <r>
    <x v="2"/>
    <n v="26"/>
    <s v="Returning"/>
    <n v="34"/>
    <d v="2022-04-19T00:00:00"/>
    <n v="9"/>
    <n v="5.5"/>
    <n v="76"/>
    <n v="3.5"/>
    <n v="48"/>
    <n v="33"/>
    <n v="6.5"/>
    <s v="Organic"/>
    <n v="22"/>
    <s v="Campaign 2"/>
    <n v="15"/>
    <s v="Page 3"/>
    <n v="12"/>
    <n v="2022"/>
    <s v="Apr"/>
  </r>
  <r>
    <x v="2"/>
    <n v="26"/>
    <s v="New"/>
    <n v="128"/>
    <d v="2022-04-20T00:00:00"/>
    <n v="12"/>
    <n v="6"/>
    <n v="75"/>
    <n v="3.1"/>
    <n v="45"/>
    <n v="28"/>
    <n v="5"/>
    <s v="Organic"/>
    <n v="21"/>
    <s v="Campaign 2"/>
    <n v="14"/>
    <s v="Page 3"/>
    <n v="11"/>
    <n v="2022"/>
    <s v="Apr"/>
  </r>
  <r>
    <x v="0"/>
    <n v="91"/>
    <s v="Returning"/>
    <n v="56"/>
    <d v="2022-04-21T00:00:00"/>
    <n v="55"/>
    <n v="54.88"/>
    <n v="77"/>
    <n v="4.3"/>
    <n v="1.5"/>
    <n v="71"/>
    <n v="17.100000000000001"/>
    <s v="Paid Search"/>
    <n v="6.2"/>
    <s v="Campaign 2"/>
    <n v="17.399999999999999"/>
    <s v="Page 3"/>
    <n v="22.2"/>
    <n v="2022"/>
    <s v="Apr"/>
  </r>
  <r>
    <x v="0"/>
    <n v="91"/>
    <s v="New"/>
    <n v="24"/>
    <d v="2022-04-22T00:00:00"/>
    <n v="28"/>
    <n v="56.3"/>
    <n v="73"/>
    <n v="3.5"/>
    <n v="59.2"/>
    <n v="55"/>
    <n v="16"/>
    <s v="Paid Search"/>
    <n v="6"/>
    <s v="Campaign 2"/>
    <n v="16.8"/>
    <s v="Page 3"/>
    <n v="21.5"/>
    <n v="2022"/>
    <s v="Apr"/>
  </r>
  <r>
    <x v="0"/>
    <n v="91"/>
    <s v="Guest"/>
    <n v="8"/>
    <d v="2022-04-23T00:00:00"/>
    <n v="20"/>
    <n v="58"/>
    <n v="65"/>
    <n v="3.9"/>
    <n v="57.5"/>
    <n v="49"/>
    <n v="15.5"/>
    <s v="Paid Search"/>
    <n v="5.5"/>
    <s v="Campaign 2"/>
    <n v="15.2"/>
    <s v="Page 2"/>
    <n v="20"/>
    <n v="2022"/>
    <s v="Apr"/>
  </r>
  <r>
    <x v="1"/>
    <n v="44"/>
    <s v="Returning"/>
    <n v="40"/>
    <d v="2022-04-24T00:00:00"/>
    <n v="48"/>
    <n v="91.47"/>
    <n v="49"/>
    <n v="3"/>
    <n v="47.8"/>
    <n v="33"/>
    <n v="18"/>
    <s v="Direct"/>
    <n v="27.5"/>
    <s v="Campaign 2"/>
    <n v="8.1"/>
    <s v="Page 1"/>
    <n v="6.9"/>
    <n v="2022"/>
    <s v="Apr"/>
  </r>
  <r>
    <x v="1"/>
    <n v="44"/>
    <s v="New"/>
    <n v="37"/>
    <d v="2022-04-25T00:00:00"/>
    <n v="39"/>
    <n v="85.3"/>
    <n v="35"/>
    <n v="2.8"/>
    <n v="5"/>
    <n v="28"/>
    <n v="17.5"/>
    <s v="Direct"/>
    <n v="26"/>
    <s v="Campaign 2"/>
    <n v="7.5"/>
    <s v="Page 1"/>
    <n v="6.3"/>
    <n v="2022"/>
    <s v="Apr"/>
  </r>
  <r>
    <x v="1"/>
    <n v="44"/>
    <s v="Guest"/>
    <n v="29"/>
    <d v="2022-04-26T00:00:00"/>
    <n v="30"/>
    <n v="87"/>
    <n v="30"/>
    <n v="3.2"/>
    <n v="46.5"/>
    <n v="93"/>
    <n v="14"/>
    <s v="Direct"/>
    <n v="24"/>
    <s v="Campaign 2"/>
    <n v="6.8"/>
    <s v="Page 1"/>
    <n v="6.1"/>
    <n v="2022"/>
    <s v="Apr"/>
  </r>
  <r>
    <x v="2"/>
    <n v="26"/>
    <s v="Returning"/>
    <n v="33"/>
    <d v="2022-04-27T00:00:00"/>
    <n v="10"/>
    <n v="6.04"/>
    <n v="78"/>
    <n v="3.1"/>
    <n v="48.7"/>
    <n v="35"/>
    <n v="5.8"/>
    <s v="Organic"/>
    <n v="23.6"/>
    <s v="Campaign 2"/>
    <n v="18.399999999999999"/>
    <s v="Page 3"/>
    <n v="11.6"/>
    <n v="2022"/>
    <s v="Apr"/>
  </r>
  <r>
    <x v="2"/>
    <n v="26"/>
    <s v="New"/>
    <n v="39"/>
    <d v="2022-04-28T00:00:00"/>
    <n v="15"/>
    <n v="7.5"/>
    <n v="75"/>
    <n v="3.2"/>
    <n v="46.2"/>
    <n v="30"/>
    <n v="5.5"/>
    <s v="Organic"/>
    <n v="22"/>
    <s v="Campaign 2"/>
    <n v="16.7"/>
    <s v="Page 3"/>
    <n v="10.8"/>
    <n v="2022"/>
    <s v="Apr"/>
  </r>
  <r>
    <x v="2"/>
    <n v="26"/>
    <s v="Guest"/>
    <n v="20"/>
    <d v="2022-04-29T00:00:00"/>
    <n v="12"/>
    <n v="8"/>
    <n v="70"/>
    <n v="3.1"/>
    <n v="44"/>
    <n v="65"/>
    <n v="4"/>
    <s v="Organic"/>
    <n v="20"/>
    <s v="Campaign 2"/>
    <n v="14"/>
    <s v="Page 3"/>
    <n v="9.5"/>
    <n v="2022"/>
    <s v="Apr"/>
  </r>
  <r>
    <x v="3"/>
    <n v="68"/>
    <s v="Returning"/>
    <n v="60"/>
    <d v="2022-04-30T00:00:00"/>
    <n v="16"/>
    <n v="90"/>
    <n v="54"/>
    <n v="3.5"/>
    <n v="7.8"/>
    <n v="34"/>
    <n v="11"/>
    <s v="Paid Search"/>
    <n v="5.3"/>
    <s v="Campaign 1"/>
    <n v="20.5"/>
    <s v="Page 1"/>
    <n v="19.5"/>
    <n v="2022"/>
    <s v="Apr"/>
  </r>
  <r>
    <x v="3"/>
    <n v="68"/>
    <s v="New"/>
    <n v="3"/>
    <d v="2022-05-01T00:00:00"/>
    <n v="12"/>
    <n v="88"/>
    <n v="50"/>
    <n v="3.2"/>
    <n v="6"/>
    <n v="29"/>
    <n v="10.199999999999999"/>
    <s v="Paid Search"/>
    <n v="4.8"/>
    <s v="Campaign 1"/>
    <n v="19.7"/>
    <s v="Page 1"/>
    <n v="18"/>
    <n v="2022"/>
    <s v="May"/>
  </r>
  <r>
    <x v="3"/>
    <n v="68"/>
    <s v="Guest"/>
    <n v="5"/>
    <d v="2022-05-02T00:00:00"/>
    <n v="10"/>
    <n v="89"/>
    <n v="45"/>
    <n v="3"/>
    <n v="6"/>
    <n v="60"/>
    <n v="9.5"/>
    <s v="Paid Search"/>
    <n v="4"/>
    <s v="Campaign 1"/>
    <n v="18"/>
    <s v="Page 1"/>
    <n v="16"/>
    <n v="2022"/>
    <s v="May"/>
  </r>
  <r>
    <x v="4"/>
    <n v="14"/>
    <s v="Returning"/>
    <n v="6"/>
    <d v="2022-05-03T00:00:00"/>
    <n v="18"/>
    <n v="70.63"/>
    <n v="41"/>
    <n v="4.0999999999999996"/>
    <n v="59.4"/>
    <n v="95"/>
    <n v="15.6"/>
    <s v="Organic"/>
    <n v="23.7"/>
    <s v="Campaign 3"/>
    <n v="15.6"/>
    <s v="Page 1"/>
    <n v="15.1"/>
    <n v="2022"/>
    <s v="May"/>
  </r>
  <r>
    <x v="4"/>
    <n v="14"/>
    <s v="New"/>
    <n v="113"/>
    <d v="2022-05-04T00:00:00"/>
    <n v="9"/>
    <n v="65"/>
    <n v="25"/>
    <n v="3.4"/>
    <n v="55"/>
    <n v="64"/>
    <n v="14"/>
    <s v="Organic"/>
    <n v="21.5"/>
    <s v="Campaign 3"/>
    <n v="13.9"/>
    <s v="Page 1"/>
    <n v="14.2"/>
    <n v="2022"/>
    <s v="May"/>
  </r>
  <r>
    <x v="4"/>
    <n v="14"/>
    <s v="Guest"/>
    <n v="0"/>
    <d v="2022-05-05T00:00:00"/>
    <n v="7"/>
    <n v="64"/>
    <n v="26"/>
    <n v="3.5"/>
    <n v="53"/>
    <n v="54"/>
    <n v="12"/>
    <s v="Organic"/>
    <n v="20"/>
    <s v="Campaign 3"/>
    <n v="12.5"/>
    <s v="Page 1"/>
    <n v="12"/>
    <n v="2022"/>
    <s v="May"/>
  </r>
  <r>
    <x v="5"/>
    <n v="33"/>
    <s v="Returning"/>
    <n v="32"/>
    <d v="2022-05-06T00:00:00"/>
    <n v="19"/>
    <n v="65.34"/>
    <n v="27"/>
    <n v="4.2"/>
    <n v="52.3"/>
    <n v="94"/>
    <n v="16.2"/>
    <s v="Direct"/>
    <n v="18.899999999999999"/>
    <s v="Campaign 4"/>
    <n v="13.8"/>
    <s v="Page 2"/>
    <n v="10.7"/>
    <n v="2022"/>
    <s v="May"/>
  </r>
  <r>
    <x v="5"/>
    <n v="33"/>
    <s v="New"/>
    <n v="29"/>
    <d v="2022-05-07T00:00:00"/>
    <n v="14"/>
    <n v="60.2"/>
    <n v="28"/>
    <n v="3.9"/>
    <n v="50.5"/>
    <n v="75"/>
    <n v="15"/>
    <s v="Direct"/>
    <n v="17.8"/>
    <s v="Campaign 4"/>
    <n v="12"/>
    <s v="Page 2"/>
    <n v="9.5"/>
    <n v="2022"/>
    <s v="May"/>
  </r>
  <r>
    <x v="5"/>
    <n v="33"/>
    <s v="Guest"/>
    <n v="2"/>
    <d v="2022-05-08T00:00:00"/>
    <n v="10"/>
    <n v="58"/>
    <n v="29"/>
    <n v="3.6"/>
    <n v="48"/>
    <n v="51"/>
    <n v="13"/>
    <s v="Direct"/>
    <n v="16"/>
    <s v="Campaign 4"/>
    <n v="11"/>
    <s v="Page 2"/>
    <n v="8"/>
    <n v="2022"/>
    <s v="May"/>
  </r>
  <r>
    <x v="0"/>
    <n v="91"/>
    <s v="Returning"/>
    <n v="58"/>
    <d v="2022-05-09T00:00:00"/>
    <n v="54"/>
    <n v="55.5"/>
    <n v="77"/>
    <n v="4.0999999999999996"/>
    <n v="0"/>
    <n v="72"/>
    <n v="17.3"/>
    <s v="Paid Search"/>
    <n v="6.5"/>
    <s v="Campaign 2"/>
    <n v="18.2"/>
    <s v="Page 3"/>
    <n v="23"/>
    <n v="2022"/>
    <s v="May"/>
  </r>
  <r>
    <x v="0"/>
    <n v="91"/>
    <s v="New"/>
    <n v="122"/>
    <d v="2022-05-10T00:00:00"/>
    <n v="26"/>
    <n v="58"/>
    <n v="70"/>
    <n v="3.8"/>
    <n v="58"/>
    <n v="54"/>
    <n v="15.5"/>
    <s v="Paid Search"/>
    <n v="5.8"/>
    <s v="Campaign 2"/>
    <n v="15"/>
    <s v="Page 3"/>
    <n v="20"/>
    <n v="2022"/>
    <s v="May"/>
  </r>
  <r>
    <x v="1"/>
    <n v="44"/>
    <s v="Returning"/>
    <n v="45"/>
    <d v="2022-05-11T00:00:00"/>
    <n v="49"/>
    <n v="90"/>
    <n v="45"/>
    <n v="3.1"/>
    <n v="48.5"/>
    <n v="33"/>
    <n v="18.5"/>
    <s v="Direct"/>
    <n v="25"/>
    <s v="Campaign 2"/>
    <n v="9"/>
    <s v="Page 1"/>
    <n v="7.5"/>
    <n v="2022"/>
    <s v="May"/>
  </r>
  <r>
    <x v="1"/>
    <n v="44"/>
    <s v="New"/>
    <n v="34"/>
    <d v="2022-05-12T00:00:00"/>
    <n v="37"/>
    <n v="87"/>
    <n v="40"/>
    <n v="2.9"/>
    <n v="44"/>
    <n v="27"/>
    <n v="16.5"/>
    <s v="Direct"/>
    <n v="24"/>
    <s v="Campaign 2"/>
    <n v="8"/>
    <s v="Page 1"/>
    <n v="6.5"/>
    <n v="2022"/>
    <s v="May"/>
  </r>
  <r>
    <x v="1"/>
    <n v="44"/>
    <s v="Guest"/>
    <n v="2"/>
    <d v="2022-05-13T00:00:00"/>
    <n v="25"/>
    <n v="85"/>
    <n v="35"/>
    <n v="3"/>
    <n v="43"/>
    <n v="78"/>
    <n v="15"/>
    <s v="Direct"/>
    <n v="23"/>
    <s v="Campaign 2"/>
    <n v="7"/>
    <s v="Page 1"/>
    <n v="5"/>
    <n v="2022"/>
    <s v="May"/>
  </r>
  <r>
    <x v="2"/>
    <n v="26"/>
    <s v="Returning"/>
    <n v="37"/>
    <d v="2022-05-14T00:00:00"/>
    <n v="8"/>
    <n v="5"/>
    <n v="76"/>
    <n v="3"/>
    <n v="47"/>
    <n v="37"/>
    <n v="6"/>
    <s v="Organic"/>
    <n v="20"/>
    <s v="Campaign 2"/>
    <n v="16"/>
    <s v="Page 3"/>
    <n v="12"/>
    <n v="2022"/>
    <s v="May"/>
  </r>
  <r>
    <x v="2"/>
    <n v="26"/>
    <s v="New"/>
    <n v="29"/>
    <d v="2022-05-15T00:00:00"/>
    <n v="10"/>
    <n v="7"/>
    <n v="74"/>
    <n v="3.2"/>
    <n v="44"/>
    <n v="31"/>
    <n v="5.5"/>
    <s v="Organic"/>
    <n v="19"/>
    <s v="Campaign 2"/>
    <n v="15"/>
    <s v="Page 3"/>
    <n v="11.5"/>
    <n v="2022"/>
    <s v="May"/>
  </r>
  <r>
    <x v="2"/>
    <n v="26"/>
    <s v="Guest"/>
    <n v="5"/>
    <d v="2022-05-16T00:00:00"/>
    <n v="7"/>
    <n v="6.5"/>
    <n v="70"/>
    <n v="3.1"/>
    <n v="42"/>
    <n v="57"/>
    <n v="4.5"/>
    <s v="Organic"/>
    <n v="18"/>
    <s v="Campaign 2"/>
    <n v="14"/>
    <s v="Page 3"/>
    <n v="10"/>
    <n v="2022"/>
    <s v="May"/>
  </r>
  <r>
    <x v="3"/>
    <n v="68"/>
    <s v="Returning"/>
    <n v="6"/>
    <d v="2022-05-17T00:00:00"/>
    <n v="14"/>
    <n v="91.5"/>
    <n v="55"/>
    <n v="3.6"/>
    <n v="8"/>
    <n v="35"/>
    <n v="12"/>
    <s v="Paid Search"/>
    <n v="5"/>
    <s v="Campaign 1"/>
    <n v="18"/>
    <s v="Page 1"/>
    <n v="19"/>
    <n v="2022"/>
    <s v="May"/>
  </r>
  <r>
    <x v="3"/>
    <n v="68"/>
    <s v="New"/>
    <n v="30"/>
    <d v="2022-05-18T00:00:00"/>
    <n v="11"/>
    <n v="89"/>
    <n v="53"/>
    <n v="3"/>
    <n v="6"/>
    <n v="28"/>
    <n v="10"/>
    <s v="Paid Search"/>
    <n v="4.5"/>
    <s v="Campaign 1"/>
    <n v="16"/>
    <s v="Page 1"/>
    <n v="17"/>
    <n v="2022"/>
    <s v="May"/>
  </r>
  <r>
    <x v="3"/>
    <n v="68"/>
    <s v="Guest"/>
    <n v="0"/>
    <d v="2022-05-19T00:00:00"/>
    <n v="9"/>
    <n v="88"/>
    <n v="45"/>
    <n v="2.8"/>
    <n v="63"/>
    <n v="45"/>
    <n v="9"/>
    <s v="Paid Search"/>
    <n v="4"/>
    <s v="Campaign 1"/>
    <n v="15"/>
    <s v="Page 1"/>
    <n v="16"/>
    <n v="2022"/>
    <s v="May"/>
  </r>
  <r>
    <x v="4"/>
    <n v="14"/>
    <s v="Returning"/>
    <n v="18"/>
    <d v="2022-05-20T00:00:00"/>
    <n v="17"/>
    <n v="72"/>
    <n v="42"/>
    <n v="4.2"/>
    <n v="60"/>
    <n v="96"/>
    <n v="14.5"/>
    <s v="Organic"/>
    <n v="21"/>
    <s v="Campaign 3"/>
    <n v="16"/>
    <s v="Page 1"/>
    <n v="15.5"/>
    <n v="2022"/>
    <s v="May"/>
  </r>
  <r>
    <x v="4"/>
    <n v="14"/>
    <s v="New"/>
    <n v="15"/>
    <d v="2022-05-21T00:00:00"/>
    <n v="8"/>
    <n v="67"/>
    <n v="27"/>
    <n v="3.7"/>
    <n v="56"/>
    <n v="62"/>
    <n v="12.5"/>
    <s v="Organic"/>
    <n v="20.5"/>
    <s v="Campaign 3"/>
    <n v="14"/>
    <s v="Page 1"/>
    <n v="13.5"/>
    <n v="2022"/>
    <s v="May"/>
  </r>
  <r>
    <x v="4"/>
    <n v="14"/>
    <s v="Guest"/>
    <n v="15"/>
    <d v="2022-05-22T00:00:00"/>
    <n v="6"/>
    <n v="66"/>
    <n v="25"/>
    <n v="3.5"/>
    <n v="54"/>
    <n v="52"/>
    <n v="12"/>
    <s v="Organic"/>
    <n v="19"/>
    <s v="Campaign 3"/>
    <n v="13"/>
    <s v="Page 1"/>
    <n v="12"/>
    <n v="2022"/>
    <s v="May"/>
  </r>
  <r>
    <x v="5"/>
    <n v="33"/>
    <s v="Returning"/>
    <n v="33"/>
    <d v="2022-05-23T00:00:00"/>
    <n v="20"/>
    <n v="63"/>
    <n v="26"/>
    <n v="4.3"/>
    <n v="53"/>
    <n v="96"/>
    <n v="15"/>
    <s v="Direct"/>
    <n v="19"/>
    <s v="Campaign 4"/>
    <n v="14"/>
    <s v="Page 2"/>
    <n v="11"/>
    <n v="2022"/>
    <s v="May"/>
  </r>
  <r>
    <x v="5"/>
    <n v="33"/>
    <s v="New"/>
    <n v="29"/>
    <d v="2022-05-24T00:00:00"/>
    <n v="15"/>
    <n v="59"/>
    <n v="27"/>
    <n v="3.9"/>
    <n v="51"/>
    <n v="80"/>
    <n v="14"/>
    <s v="Direct"/>
    <n v="18"/>
    <s v="Campaign 4"/>
    <n v="13"/>
    <s v="Page 2"/>
    <n v="10"/>
    <n v="2022"/>
    <s v="May"/>
  </r>
  <r>
    <x v="5"/>
    <n v="33"/>
    <s v="Guest"/>
    <n v="2"/>
    <d v="2022-05-25T00:00:00"/>
    <n v="10"/>
    <n v="58"/>
    <n v="28"/>
    <n v="3.6"/>
    <n v="48"/>
    <n v="51"/>
    <n v="13"/>
    <s v="Direct"/>
    <n v="16"/>
    <s v="Campaign 4"/>
    <n v="11"/>
    <s v="Page 2"/>
    <n v="8"/>
    <n v="2022"/>
    <s v="May"/>
  </r>
  <r>
    <x v="0"/>
    <n v="91"/>
    <s v="Returning"/>
    <n v="54"/>
    <d v="2022-05-26T00:00:00"/>
    <n v="52"/>
    <n v="54"/>
    <n v="77"/>
    <n v="4.4000000000000004"/>
    <n v="59"/>
    <n v="73"/>
    <n v="16"/>
    <s v="Paid Search"/>
    <n v="7"/>
    <s v="Campaign 2"/>
    <n v="15"/>
    <s v="Page 3"/>
    <n v="22"/>
    <n v="2022"/>
    <s v="May"/>
  </r>
  <r>
    <x v="0"/>
    <n v="91"/>
    <s v="New"/>
    <n v="2"/>
    <d v="2022-05-27T00:00:00"/>
    <n v="27"/>
    <n v="56"/>
    <n v="70"/>
    <n v="3.8"/>
    <n v="58"/>
    <n v="58"/>
    <n v="14"/>
    <s v="Paid Search"/>
    <n v="6"/>
    <s v="Campaign 2"/>
    <n v="14"/>
    <s v="Page 3"/>
    <n v="21"/>
    <n v="2022"/>
    <s v="May"/>
  </r>
  <r>
    <x v="0"/>
    <n v="91"/>
    <s v="Guest"/>
    <n v="7"/>
    <d v="2022-05-28T00:00:00"/>
    <n v="12"/>
    <n v="58"/>
    <n v="65"/>
    <n v="3.4"/>
    <n v="56"/>
    <n v="45"/>
    <n v="13"/>
    <s v="Paid Search"/>
    <n v="5.5"/>
    <s v="Campaign 2"/>
    <n v="12"/>
    <s v="Page 3"/>
    <n v="19"/>
    <n v="2022"/>
    <s v="May"/>
  </r>
  <r>
    <x v="1"/>
    <n v="44"/>
    <s v="Returning"/>
    <n v="42"/>
    <d v="2022-05-29T00:00:00"/>
    <n v="45"/>
    <n v="89"/>
    <n v="45"/>
    <n v="3.2"/>
    <n v="45"/>
    <n v="31"/>
    <n v="17"/>
    <s v="Direct"/>
    <n v="26"/>
    <s v="Campaign 2"/>
    <n v="7"/>
    <s v="Page 1"/>
    <n v="7"/>
    <n v="2022"/>
    <s v="May"/>
  </r>
  <r>
    <x v="1"/>
    <n v="44"/>
    <s v="New"/>
    <n v="139"/>
    <d v="2022-05-30T00:00:00"/>
    <n v="38"/>
    <n v="85"/>
    <n v="40"/>
    <n v="2.9"/>
    <n v="44"/>
    <n v="27"/>
    <n v="16"/>
    <s v="Direct"/>
    <n v="25"/>
    <s v="Campaign 2"/>
    <n v="6.5"/>
    <s v="Page 1"/>
    <n v="6.5"/>
    <n v="2022"/>
    <s v="May"/>
  </r>
  <r>
    <x v="1"/>
    <n v="44"/>
    <s v="Guest"/>
    <n v="22"/>
    <d v="2022-05-31T00:00:00"/>
    <n v="25"/>
    <n v="83"/>
    <n v="35"/>
    <n v="3"/>
    <n v="43"/>
    <n v="78"/>
    <n v="15"/>
    <s v="Direct"/>
    <n v="23"/>
    <s v="Campaign 2"/>
    <n v="7"/>
    <s v="Page 1"/>
    <n v="5"/>
    <n v="2022"/>
    <s v="May"/>
  </r>
  <r>
    <x v="4"/>
    <n v="14"/>
    <s v="Returning"/>
    <n v="119"/>
    <d v="2022-06-01T00:00:00"/>
    <n v="17"/>
    <n v="70.63"/>
    <n v="42"/>
    <n v="4.2"/>
    <n v="60"/>
    <n v="96"/>
    <n v="14.5"/>
    <s v="Organic"/>
    <n v="21"/>
    <s v="Campaign 3"/>
    <n v="16"/>
    <s v="Page 1"/>
    <n v="15.5"/>
    <n v="2022"/>
    <s v="Jun"/>
  </r>
  <r>
    <x v="4"/>
    <n v="14"/>
    <s v="New"/>
    <n v="116"/>
    <d v="2022-06-02T00:00:00"/>
    <n v="9"/>
    <n v="67"/>
    <n v="27"/>
    <n v="3.7"/>
    <n v="56"/>
    <n v="62"/>
    <n v="12.5"/>
    <s v="Organic"/>
    <n v="20.5"/>
    <s v="Campaign 3"/>
    <n v="14"/>
    <s v="Page 1"/>
    <n v="13.5"/>
    <n v="2022"/>
    <s v="Jun"/>
  </r>
  <r>
    <x v="4"/>
    <n v="14"/>
    <s v="Guest"/>
    <n v="122"/>
    <d v="2022-06-03T00:00:00"/>
    <n v="6"/>
    <n v="66"/>
    <n v="25"/>
    <n v="3.5"/>
    <n v="54"/>
    <n v="52"/>
    <n v="12"/>
    <s v="Organic"/>
    <n v="19"/>
    <s v="Campaign 3"/>
    <n v="13"/>
    <s v="Page 1"/>
    <n v="12"/>
    <n v="2022"/>
    <s v="Jun"/>
  </r>
  <r>
    <x v="5"/>
    <n v="33"/>
    <s v="Returning"/>
    <n v="34"/>
    <d v="2022-06-04T00:00:00"/>
    <n v="20"/>
    <n v="63"/>
    <n v="26"/>
    <n v="4.3"/>
    <n v="53"/>
    <n v="96"/>
    <n v="15"/>
    <s v="Direct"/>
    <n v="19"/>
    <s v="Campaign 4"/>
    <n v="14"/>
    <s v="Page 2"/>
    <n v="11"/>
    <n v="2022"/>
    <s v="Jun"/>
  </r>
  <r>
    <x v="5"/>
    <n v="33"/>
    <s v="New"/>
    <n v="30"/>
    <d v="2022-06-05T00:00:00"/>
    <n v="15"/>
    <n v="59"/>
    <n v="27"/>
    <n v="3.9"/>
    <n v="51"/>
    <n v="80"/>
    <n v="14"/>
    <s v="Direct"/>
    <n v="18"/>
    <s v="Campaign 4"/>
    <n v="13"/>
    <s v="Page 2"/>
    <n v="10"/>
    <n v="2022"/>
    <s v="Jun"/>
  </r>
  <r>
    <x v="5"/>
    <n v="33"/>
    <s v="Guest"/>
    <n v="4"/>
    <d v="2022-06-06T00:00:00"/>
    <n v="10"/>
    <n v="58"/>
    <n v="28"/>
    <n v="3.6"/>
    <n v="48"/>
    <n v="51"/>
    <n v="13"/>
    <s v="Direct"/>
    <n v="16"/>
    <s v="Campaign 4"/>
    <n v="11"/>
    <s v="Page 2"/>
    <n v="8"/>
    <n v="2022"/>
    <s v="Jun"/>
  </r>
  <r>
    <x v="0"/>
    <n v="91"/>
    <s v="Returning"/>
    <n v="55"/>
    <d v="2022-06-07T00:00:00"/>
    <n v="52"/>
    <n v="54"/>
    <n v="77"/>
    <n v="4.4000000000000004"/>
    <n v="59"/>
    <n v="73"/>
    <n v="16"/>
    <s v="Paid Search"/>
    <n v="7"/>
    <s v="Campaign 2"/>
    <n v="15"/>
    <s v="Page 3"/>
    <n v="22"/>
    <n v="2022"/>
    <s v="Jun"/>
  </r>
  <r>
    <x v="0"/>
    <n v="91"/>
    <s v="New"/>
    <n v="84"/>
    <d v="2022-06-08T00:00:00"/>
    <n v="27"/>
    <n v="56"/>
    <n v="70"/>
    <n v="3.8"/>
    <n v="58"/>
    <n v="58"/>
    <n v="14"/>
    <s v="Paid Search"/>
    <n v="6"/>
    <s v="Campaign 2"/>
    <n v="14"/>
    <s v="Page 3"/>
    <n v="21"/>
    <n v="2022"/>
    <s v="Jun"/>
  </r>
  <r>
    <x v="0"/>
    <n v="91"/>
    <s v="Guest"/>
    <n v="88"/>
    <d v="2022-06-09T00:00:00"/>
    <n v="12"/>
    <n v="58"/>
    <n v="65"/>
    <n v="3.4"/>
    <n v="5"/>
    <n v="45"/>
    <n v="13"/>
    <s v="Paid Search"/>
    <n v="5.5"/>
    <s v="Campaign 2"/>
    <n v="12"/>
    <s v="Page 3"/>
    <n v="19"/>
    <n v="2022"/>
    <s v="Jun"/>
  </r>
  <r>
    <x v="1"/>
    <n v="44"/>
    <s v="Returning"/>
    <n v="43"/>
    <d v="2022-06-10T00:00:00"/>
    <n v="45"/>
    <n v="89"/>
    <n v="45"/>
    <n v="3.2"/>
    <n v="45"/>
    <n v="31"/>
    <n v="17"/>
    <s v="Direct"/>
    <n v="26"/>
    <s v="Campaign 2"/>
    <n v="7"/>
    <s v="Page 1"/>
    <n v="7"/>
    <n v="2022"/>
    <s v="Jun"/>
  </r>
  <r>
    <x v="1"/>
    <n v="44"/>
    <s v="New"/>
    <n v="137"/>
    <d v="2022-06-11T00:00:00"/>
    <n v="38"/>
    <n v="85"/>
    <n v="40"/>
    <n v="2.9"/>
    <n v="44"/>
    <n v="27"/>
    <n v="16"/>
    <s v="Direct"/>
    <n v="25"/>
    <s v="Campaign 2"/>
    <n v="6.5"/>
    <s v="Page 1"/>
    <n v="6.5"/>
    <n v="2022"/>
    <s v="Jun"/>
  </r>
  <r>
    <x v="1"/>
    <n v="44"/>
    <s v="Guest"/>
    <n v="20"/>
    <d v="2022-06-12T00:00:00"/>
    <n v="25"/>
    <n v="83"/>
    <n v="35"/>
    <n v="3"/>
    <n v="43"/>
    <n v="78"/>
    <n v="15"/>
    <s v="Direct"/>
    <n v="23"/>
    <s v="Campaign 2"/>
    <n v="7"/>
    <s v="Page 1"/>
    <n v="5"/>
    <n v="2022"/>
    <s v="Jun"/>
  </r>
  <r>
    <x v="2"/>
    <n v="26"/>
    <s v="Returning"/>
    <n v="35"/>
    <d v="2022-06-13T00:00:00"/>
    <n v="10"/>
    <n v="5.5"/>
    <n v="76"/>
    <n v="3.5"/>
    <n v="48"/>
    <n v="33"/>
    <n v="6.5"/>
    <s v="Organic"/>
    <n v="22"/>
    <s v="Campaign 2"/>
    <n v="15"/>
    <s v="Page 3"/>
    <n v="12"/>
    <n v="2022"/>
    <s v="Jun"/>
  </r>
  <r>
    <x v="2"/>
    <n v="26"/>
    <s v="New"/>
    <n v="29"/>
    <d v="2022-06-14T00:00:00"/>
    <n v="12"/>
    <n v="6"/>
    <n v="75"/>
    <n v="3.1"/>
    <n v="45"/>
    <n v="28"/>
    <n v="5"/>
    <s v="Organic"/>
    <n v="21"/>
    <s v="Campaign 2"/>
    <n v="14"/>
    <s v="Page 3"/>
    <n v="11"/>
    <n v="2022"/>
    <s v="Jun"/>
  </r>
  <r>
    <x v="2"/>
    <n v="26"/>
    <s v="Guest"/>
    <n v="114"/>
    <d v="2022-06-15T00:00:00"/>
    <n v="8"/>
    <n v="6.5"/>
    <n v="70"/>
    <n v="3"/>
    <n v="42"/>
    <n v="69"/>
    <n v="4.5"/>
    <s v="Organic"/>
    <n v="20"/>
    <s v="Campaign 2"/>
    <n v="12"/>
    <s v="Page 3"/>
    <n v="10"/>
    <n v="2022"/>
    <s v="Jun"/>
  </r>
  <r>
    <x v="0"/>
    <n v="91"/>
    <s v="Returning"/>
    <n v="60"/>
    <d v="2022-06-16T00:00:00"/>
    <n v="47"/>
    <n v="54.88"/>
    <n v="77"/>
    <n v="4.4000000000000004"/>
    <n v="61.5"/>
    <n v="76"/>
    <n v="17.100000000000001"/>
    <s v="Paid Search"/>
    <n v="6.2"/>
    <s v="Campaign 2"/>
    <n v="17.399999999999999"/>
    <s v="Page 3"/>
    <n v="22.2"/>
    <n v="2022"/>
    <s v="Jun"/>
  </r>
  <r>
    <x v="1"/>
    <n v="44"/>
    <s v="New"/>
    <n v="66"/>
    <d v="2022-06-17T00:00:00"/>
    <n v="44"/>
    <n v="91.47"/>
    <n v="49"/>
    <n v="2.7"/>
    <n v="47.8"/>
    <n v="37"/>
    <n v="18"/>
    <s v="Direct"/>
    <n v="27.5"/>
    <s v="Campaign 2"/>
    <n v="8.1"/>
    <s v="Page 1"/>
    <n v="6.9"/>
    <n v="2022"/>
    <s v="Jun"/>
  </r>
  <r>
    <x v="2"/>
    <n v="26"/>
    <s v="Returning"/>
    <n v="53"/>
    <d v="2022-06-18T00:00:00"/>
    <n v="8"/>
    <n v="6.04"/>
    <n v="78"/>
    <n v="3.2"/>
    <n v="48.7"/>
    <n v="39"/>
    <n v="5.8"/>
    <s v="Organic"/>
    <n v="23.6"/>
    <s v="Campaign 2"/>
    <n v="18.399999999999999"/>
    <s v="Page 3"/>
    <n v="11.6"/>
    <n v="2022"/>
    <s v="Jun"/>
  </r>
  <r>
    <x v="3"/>
    <n v="68"/>
    <s v="New"/>
    <n v="64"/>
    <d v="2022-06-19T00:00:00"/>
    <n v="11"/>
    <n v="90"/>
    <n v="54"/>
    <n v="3.3"/>
    <n v="7.8"/>
    <n v="38"/>
    <n v="11"/>
    <s v="Paid Search"/>
    <n v="5.3"/>
    <s v="Campaign 1"/>
    <n v="20.5"/>
    <s v="Page 1"/>
    <n v="19.5"/>
    <n v="2022"/>
    <s v="Jun"/>
  </r>
  <r>
    <x v="4"/>
    <n v="14"/>
    <s v="New"/>
    <n v="2"/>
    <d v="2022-06-20T00:00:00"/>
    <n v="14"/>
    <n v="70.63"/>
    <n v="41"/>
    <n v="3.9"/>
    <n v="59.4"/>
    <n v="25"/>
    <n v="15.6"/>
    <s v="Organic"/>
    <n v="23.7"/>
    <s v="Campaign 3"/>
    <n v="15.6"/>
    <s v="Page 1"/>
    <n v="15.1"/>
    <n v="2022"/>
    <s v="Jun"/>
  </r>
  <r>
    <x v="0"/>
    <n v="91"/>
    <s v="Returning"/>
    <n v="157"/>
    <d v="2022-06-21T00:00:00"/>
    <n v="52"/>
    <n v="54"/>
    <n v="77"/>
    <n v="4.5999999999999996"/>
    <n v="58"/>
    <n v="73"/>
    <n v="17"/>
    <s v="Paid Search"/>
    <n v="8"/>
    <s v="Campaign 2"/>
    <n v="16"/>
    <s v="Page 3"/>
    <n v="23"/>
    <n v="2022"/>
    <s v="Jun"/>
  </r>
  <r>
    <x v="1"/>
    <n v="44"/>
    <s v="Returning"/>
    <n v="129"/>
    <d v="2022-06-22T00:00:00"/>
    <n v="45"/>
    <n v="89"/>
    <n v="47"/>
    <n v="3.3"/>
    <n v="45"/>
    <n v="32"/>
    <n v="18"/>
    <s v="Direct"/>
    <n v="27.5"/>
    <s v="Campaign 2"/>
    <n v="9.5"/>
    <s v="Page 1"/>
    <n v="8.5"/>
    <n v="2022"/>
    <s v="Jun"/>
  </r>
  <r>
    <x v="2"/>
    <n v="26"/>
    <s v="New"/>
    <n v="269"/>
    <d v="2022-06-23T00:00:00"/>
    <n v="10"/>
    <n v="5.5"/>
    <n v="76"/>
    <n v="3.5"/>
    <n v="48"/>
    <n v="33"/>
    <n v="6.5"/>
    <s v="Organic"/>
    <n v="22"/>
    <s v="Campaign 2"/>
    <n v="15"/>
    <s v="Page 3"/>
    <n v="12"/>
    <n v="2022"/>
    <s v="Jun"/>
  </r>
  <r>
    <x v="5"/>
    <n v="33"/>
    <s v="Returning"/>
    <n v="34"/>
    <d v="2022-06-24T00:00:00"/>
    <n v="20"/>
    <n v="63"/>
    <n v="77"/>
    <n v="4.3"/>
    <n v="53"/>
    <n v="96"/>
    <n v="15"/>
    <s v="Direct"/>
    <n v="19"/>
    <s v="Campaign 4"/>
    <n v="14"/>
    <s v="Page 2"/>
    <n v="11"/>
    <n v="2022"/>
    <s v="Jun"/>
  </r>
  <r>
    <x v="5"/>
    <n v="33"/>
    <s v="New"/>
    <n v="30"/>
    <d v="2022-06-25T00:00:00"/>
    <n v="15"/>
    <n v="59"/>
    <n v="78"/>
    <n v="3.9"/>
    <n v="51"/>
    <n v="80"/>
    <n v="14"/>
    <s v="Direct"/>
    <n v="18"/>
    <s v="Campaign 4"/>
    <n v="13"/>
    <s v="Page 2"/>
    <n v="10"/>
    <n v="2022"/>
    <s v="Jun"/>
  </r>
  <r>
    <x v="5"/>
    <n v="33"/>
    <s v="Guest"/>
    <n v="4"/>
    <d v="2022-06-26T00:00:00"/>
    <n v="10"/>
    <n v="58"/>
    <n v="79"/>
    <n v="3.6"/>
    <n v="48"/>
    <n v="51"/>
    <n v="13"/>
    <s v="Direct"/>
    <n v="16"/>
    <s v="Campaign 4"/>
    <n v="11"/>
    <s v="Page 2"/>
    <n v="8"/>
    <n v="2022"/>
    <s v="Jun"/>
  </r>
  <r>
    <x v="4"/>
    <n v="14"/>
    <s v="Returning"/>
    <n v="19"/>
    <d v="2022-06-27T00:00:00"/>
    <n v="17"/>
    <n v="72"/>
    <n v="42"/>
    <n v="4"/>
    <n v="60"/>
    <n v="98"/>
    <n v="14.5"/>
    <s v="Organic"/>
    <n v="21"/>
    <s v="Campaign 3"/>
    <n v="16"/>
    <s v="Page 1"/>
    <n v="15.5"/>
    <n v="2022"/>
    <s v="Jun"/>
  </r>
  <r>
    <x v="4"/>
    <n v="14"/>
    <s v="New"/>
    <n v="116"/>
    <d v="2022-06-28T00:00:00"/>
    <n v="10"/>
    <n v="67"/>
    <n v="27"/>
    <n v="3.5"/>
    <n v="56"/>
    <n v="62"/>
    <n v="12.5"/>
    <s v="Organic"/>
    <n v="20.5"/>
    <s v="Campaign 3"/>
    <n v="14"/>
    <s v="Page 1"/>
    <n v="13"/>
    <n v="2022"/>
    <s v="Jun"/>
  </r>
  <r>
    <x v="4"/>
    <n v="14"/>
    <s v="Guest"/>
    <n v="4"/>
    <d v="2022-06-29T00:00:00"/>
    <n v="9"/>
    <n v="66"/>
    <n v="25"/>
    <n v="3.4"/>
    <n v="54"/>
    <n v="52"/>
    <n v="12"/>
    <s v="Organic"/>
    <n v="19"/>
    <s v="Campaign 3"/>
    <n v="13"/>
    <s v="Page 1"/>
    <n v="12"/>
    <n v="2022"/>
    <s v="Jun"/>
  </r>
  <r>
    <x v="3"/>
    <n v="68"/>
    <s v="Returning"/>
    <n v="62"/>
    <d v="2022-06-30T00:00:00"/>
    <n v="15"/>
    <n v="91.5"/>
    <n v="57"/>
    <n v="3.7"/>
    <n v="6"/>
    <n v="38"/>
    <n v="12"/>
    <s v="Paid Search"/>
    <n v="5.5"/>
    <s v="Campaign 1"/>
    <n v="20"/>
    <s v="Page 1"/>
    <n v="18.5"/>
    <n v="2022"/>
    <s v="Jun"/>
  </r>
  <r>
    <x v="3"/>
    <n v="68"/>
    <s v="New"/>
    <n v="28"/>
    <d v="2022-07-01T00:00:00"/>
    <n v="12"/>
    <n v="89"/>
    <n v="53"/>
    <n v="3.1"/>
    <m/>
    <n v="99"/>
    <n v="11.5"/>
    <s v="Paid Search"/>
    <n v="4.5"/>
    <s v="Campaign 1"/>
    <n v="18"/>
    <s v="Page 1"/>
    <n v="17"/>
    <n v="2022"/>
    <s v="Jul"/>
  </r>
  <r>
    <x v="3"/>
    <n v="68"/>
    <s v="Guest"/>
    <n v="115"/>
    <d v="2022-07-02T00:00:00"/>
    <n v="10"/>
    <n v="88"/>
    <n v="45"/>
    <n v="2.9"/>
    <n v="64"/>
    <n v="55"/>
    <n v="10"/>
    <s v="Paid Search"/>
    <n v="4"/>
    <s v="Campaign 1"/>
    <n v="16.5"/>
    <s v="Page 1"/>
    <n v="15"/>
    <n v="2022"/>
    <s v="Jul"/>
  </r>
  <r>
    <x v="0"/>
    <n v="91"/>
    <s v="Returning"/>
    <n v="34"/>
    <d v="2022-07-03T00:00:00"/>
    <n v="9"/>
    <n v="5.5"/>
    <n v="76"/>
    <n v="3.5"/>
    <n v="48"/>
    <n v="33"/>
    <n v="6.5"/>
    <s v="Organic"/>
    <n v="22"/>
    <s v="Campaign 2"/>
    <n v="15"/>
    <s v="Page 3"/>
    <n v="12"/>
    <n v="2022"/>
    <s v="Jul"/>
  </r>
  <r>
    <x v="2"/>
    <n v="26"/>
    <s v="New"/>
    <n v="28"/>
    <d v="2022-07-04T00:00:00"/>
    <n v="12"/>
    <n v="6"/>
    <n v="75"/>
    <n v="3.1"/>
    <n v="45"/>
    <n v="28"/>
    <n v="5"/>
    <s v="Organic"/>
    <n v="21"/>
    <s v="Campaign 2"/>
    <n v="14"/>
    <s v="Page 3"/>
    <n v="11"/>
    <n v="2022"/>
    <s v="Jul"/>
  </r>
  <r>
    <x v="2"/>
    <n v="26"/>
    <s v="Guest"/>
    <n v="8"/>
    <d v="2022-07-05T00:00:00"/>
    <n v="8"/>
    <n v="6.5"/>
    <n v="70"/>
    <n v="3"/>
    <n v="42"/>
    <n v="69"/>
    <n v="4.5"/>
    <s v="Organic"/>
    <n v="20"/>
    <s v="Campaign 2"/>
    <n v="12"/>
    <s v="Page 1"/>
    <n v="23"/>
    <n v="2022"/>
    <s v="Jul"/>
  </r>
  <r>
    <x v="0"/>
    <n v="91"/>
    <s v="Returning"/>
    <n v="57"/>
    <d v="2022-07-06T00:00:00"/>
    <n v="53"/>
    <n v="54"/>
    <n v="77"/>
    <n v="4.5999999999999996"/>
    <n v="58"/>
    <n v="73"/>
    <n v="17"/>
    <s v="Paid Search"/>
    <n v="8"/>
    <s v="Campaign 2"/>
    <n v="16"/>
    <s v="Page 3"/>
    <n v="23"/>
    <n v="2022"/>
    <s v="Jul"/>
  </r>
  <r>
    <x v="0"/>
    <n v="91"/>
    <s v="New"/>
    <n v="156"/>
    <d v="2022-07-07T00:00:00"/>
    <n v="30"/>
    <n v="56"/>
    <n v="72"/>
    <n v="3.9"/>
    <n v="57"/>
    <n v="62"/>
    <n v="15.5"/>
    <s v="Paid Search"/>
    <n v="7.5"/>
    <s v="Campaign 2"/>
    <n v="15"/>
    <s v="Page 3"/>
    <n v="21.5"/>
    <n v="2022"/>
    <s v="Jul"/>
  </r>
  <r>
    <x v="0"/>
    <n v="91"/>
    <s v="Guest"/>
    <n v="22"/>
    <d v="2022-07-08T00:00:00"/>
    <n v="12"/>
    <n v="58"/>
    <n v="67"/>
    <n v="3.3"/>
    <n v="15"/>
    <n v="46"/>
    <n v="14"/>
    <s v="Paid Search"/>
    <n v="6"/>
    <s v="Campaign 2"/>
    <n v="13.5"/>
    <s v="Page 3"/>
    <n v="20"/>
    <n v="2022"/>
    <s v="Jul"/>
  </r>
  <r>
    <x v="1"/>
    <n v="44"/>
    <s v="Returning"/>
    <n v="46"/>
    <d v="2022-07-09T00:00:00"/>
    <n v="47"/>
    <n v="90"/>
    <n v="47"/>
    <n v="3.3"/>
    <n v="45"/>
    <n v="32"/>
    <n v="18"/>
    <s v="Direct"/>
    <n v="27.5"/>
    <s v="Campaign 2"/>
    <n v="9.5"/>
    <s v="Page 1"/>
    <n v="8.5"/>
    <n v="2022"/>
    <s v="Jul"/>
  </r>
  <r>
    <x v="1"/>
    <n v="44"/>
    <s v="New"/>
    <n v="139"/>
    <d v="2022-07-10T00:00:00"/>
    <n v="39"/>
    <n v="87"/>
    <n v="41"/>
    <n v="3"/>
    <n v="44"/>
    <n v="27"/>
    <n v="17"/>
    <s v="Direct"/>
    <n v="26"/>
    <s v="Campaign 2"/>
    <n v="8"/>
    <s v="Page 1"/>
    <n v="7.5"/>
    <n v="2022"/>
    <s v="Jul"/>
  </r>
  <r>
    <x v="1"/>
    <n v="44"/>
    <s v="Guest"/>
    <n v="29"/>
    <d v="2022-07-11T00:00:00"/>
    <n v="25"/>
    <n v="85"/>
    <n v="35"/>
    <n v="3"/>
    <n v="43"/>
    <n v="78"/>
    <n v="16.5"/>
    <s v="Direct"/>
    <n v="25"/>
    <s v="Campaign 2"/>
    <n v="7"/>
    <s v="Page 1"/>
    <n v="6"/>
    <n v="2022"/>
    <s v="Jul"/>
  </r>
  <r>
    <x v="2"/>
    <n v="26"/>
    <s v="Returning"/>
    <n v="35"/>
    <d v="2022-07-12T00:00:00"/>
    <n v="10"/>
    <n v="5.5"/>
    <n v="76"/>
    <n v="3.5"/>
    <n v="48"/>
    <n v="33"/>
    <n v="6.5"/>
    <s v="Organic"/>
    <n v="22"/>
    <s v="Campaign 2"/>
    <n v="15"/>
    <s v="Page 3"/>
    <n v="12"/>
    <n v="2022"/>
    <s v="Jul"/>
  </r>
  <r>
    <x v="2"/>
    <n v="26"/>
    <s v="New"/>
    <n v="32"/>
    <d v="2022-07-13T00:00:00"/>
    <n v="12"/>
    <n v="6"/>
    <n v="75"/>
    <n v="3.1"/>
    <n v="45"/>
    <n v="28"/>
    <n v="6"/>
    <s v="Organic"/>
    <n v="21"/>
    <s v="Campaign 2"/>
    <n v="14"/>
    <s v="Page 3"/>
    <n v="11"/>
    <n v="2022"/>
    <s v="Jul"/>
  </r>
  <r>
    <x v="2"/>
    <n v="26"/>
    <s v="Guest"/>
    <n v="120"/>
    <d v="2022-07-14T00:00:00"/>
    <n v="8"/>
    <n v="6.5"/>
    <n v="70"/>
    <n v="3"/>
    <n v="42"/>
    <n v="69"/>
    <n v="5.5"/>
    <s v="Organic"/>
    <n v="20"/>
    <s v="Campaign 2"/>
    <n v="12"/>
    <s v="Page 3"/>
    <n v="10"/>
    <n v="2022"/>
    <s v="Jul"/>
  </r>
  <r>
    <x v="3"/>
    <n v="68"/>
    <s v="Returning"/>
    <n v="66"/>
    <d v="2022-07-15T00:00:00"/>
    <n v="15"/>
    <n v="91.5"/>
    <n v="57"/>
    <n v="3.7"/>
    <n v="7"/>
    <n v="38"/>
    <n v="12"/>
    <s v="Paid Search"/>
    <n v="5.5"/>
    <s v="Campaign 1"/>
    <n v="20"/>
    <s v="Page 1"/>
    <n v="18.5"/>
    <n v="2022"/>
    <s v="Jul"/>
  </r>
  <r>
    <x v="3"/>
    <n v="68"/>
    <s v="New"/>
    <n v="28"/>
    <d v="2022-07-16T00:00:00"/>
    <n v="12"/>
    <n v="89"/>
    <n v="53"/>
    <n v="3.1"/>
    <n v="66"/>
    <n v="99"/>
    <n v="11.5"/>
    <s v="Paid Search"/>
    <n v="4.5"/>
    <s v="Campaign 1"/>
    <n v="18"/>
    <s v="Page 1"/>
    <n v="17"/>
    <n v="2022"/>
    <s v="Jul"/>
  </r>
  <r>
    <x v="3"/>
    <n v="68"/>
    <s v="Guest"/>
    <n v="55"/>
    <d v="2022-07-17T00:00:00"/>
    <n v="10"/>
    <n v="88"/>
    <n v="45"/>
    <n v="2.9"/>
    <n v="64"/>
    <n v="55"/>
    <n v="10"/>
    <s v="Paid Search"/>
    <n v="4"/>
    <s v="Campaign 1"/>
    <n v="16.5"/>
    <s v="Page 1"/>
    <n v="15"/>
    <n v="2022"/>
    <s v="Jul"/>
  </r>
  <r>
    <x v="4"/>
    <n v="14"/>
    <s v="Returning"/>
    <n v="20"/>
    <d v="2022-07-18T00:00:00"/>
    <n v="18"/>
    <n v="72"/>
    <n v="42"/>
    <n v="4"/>
    <n v="60"/>
    <n v="98"/>
    <n v="14.5"/>
    <s v="Organic"/>
    <n v="21"/>
    <s v="Campaign 3"/>
    <n v="16"/>
    <s v="Page 1"/>
    <n v="15.5"/>
    <n v="2022"/>
    <s v="Jul"/>
  </r>
  <r>
    <x v="4"/>
    <n v="14"/>
    <s v="New"/>
    <n v="16"/>
    <d v="2022-07-19T00:00:00"/>
    <n v="10"/>
    <n v="67"/>
    <n v="27"/>
    <n v="3.5"/>
    <n v="56"/>
    <n v="62"/>
    <n v="12.5"/>
    <s v="Organic"/>
    <n v="20.5"/>
    <s v="Campaign 3"/>
    <n v="14"/>
    <s v="Page 1"/>
    <n v="13"/>
    <n v="2022"/>
    <s v="Jul"/>
  </r>
  <r>
    <x v="4"/>
    <n v="14"/>
    <s v="Guest"/>
    <n v="14"/>
    <d v="2022-07-20T00:00:00"/>
    <n v="9"/>
    <n v="66"/>
    <n v="25"/>
    <n v="3.4"/>
    <n v="54"/>
    <n v="52"/>
    <n v="12"/>
    <s v="Organic"/>
    <n v="19"/>
    <s v="Campaign 3"/>
    <n v="13"/>
    <s v="Page 1"/>
    <n v="12"/>
    <n v="2022"/>
    <s v="Jul"/>
  </r>
  <r>
    <x v="1"/>
    <n v="44"/>
    <s v="New"/>
    <n v="35"/>
    <d v="2022-07-21T00:00:00"/>
    <n v="32"/>
    <n v="85.3"/>
    <n v="35"/>
    <n v="2.5"/>
    <n v="45"/>
    <n v="29"/>
    <n v="17.5"/>
    <s v="Direct"/>
    <n v="26"/>
    <s v="Campaign 2"/>
    <n v="7.5"/>
    <s v="Page 1"/>
    <n v="6.3"/>
    <n v="2022"/>
    <s v="Jul"/>
  </r>
  <r>
    <x v="2"/>
    <n v="26"/>
    <s v="Guest"/>
    <n v="88"/>
    <d v="2022-07-22T00:00:00"/>
    <n v="8"/>
    <n v="6.5"/>
    <n v="70"/>
    <n v="3"/>
    <n v="42"/>
    <n v="69"/>
    <n v="5.5"/>
    <s v="Organic"/>
    <n v="20"/>
    <s v="Campaign 2"/>
    <n v="12"/>
    <s v="Page 3"/>
    <n v="10"/>
    <n v="2022"/>
    <s v="J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15159-AAC3-45A1-AB88-6DD397B6C60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10" firstHeaderRow="0" firstDataRow="1" firstDataCol="1"/>
  <pivotFields count="20">
    <pivotField axis="axisRow" showAll="0">
      <items count="7">
        <item x="3"/>
        <item x="1"/>
        <item x="5"/>
        <item x="2"/>
        <item x="4"/>
        <item x="0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or Count2" fld="3" baseField="0" baseItem="0"/>
    <dataField name="Sum of Visitor Count" fld="3" showDataAs="percentOfTotal" baseField="0" baseItem="0" numFmtId="9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FB3C7-34A5-492C-B185-E83E51862904}" name="PivotTable1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10" firstHeaderRow="0" firstDataRow="1" firstDataCol="1"/>
  <pivotFields count="20">
    <pivotField axis="axisRow" showAll="0">
      <items count="7">
        <item x="3"/>
        <item x="1"/>
        <item x="5"/>
        <item x="2"/>
        <item x="4"/>
        <item x="0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or Count2" fld="3" baseField="0" baseItem="0"/>
    <dataField name="Sum of Visitor Count" fld="3" showDataAs="percentOfTotal" baseField="0" baseItem="0" numFmtId="9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40D7C-4996-44C1-A9BD-B6E6FE986E25}" name="Table1" displayName="Table1" ref="A1:T196" totalsRowShown="0">
  <autoFilter ref="A1:T196" xr:uid="{1ED40D7C-4996-44C1-A9BD-B6E6FE986E25}"/>
  <tableColumns count="20">
    <tableColumn id="1" xr3:uid="{33C48FB4-AEA9-4DB2-9D1C-5DC60EE2377E}" name="Traffic Source Type"/>
    <tableColumn id="2" xr3:uid="{746D5463-4876-4D73-822F-6762D9E00251}" name="Traffic Source %"/>
    <tableColumn id="3" xr3:uid="{D593D466-6BC0-4A79-992B-E6495BF086F0}" name="Visitor Type"/>
    <tableColumn id="4" xr3:uid="{B3EA6BDA-41CC-4851-9A7A-ECD474D79790}" name="Visitor Count"/>
    <tableColumn id="5" xr3:uid="{3597090D-E9AA-4023-8A6E-1E9563701D62}" name="Visitor Date"/>
    <tableColumn id="6" xr3:uid="{4C42249D-4DA5-462B-97D9-6B88D9E24BD1}" name="Visits (in thousands)"/>
    <tableColumn id="7" xr3:uid="{D5397422-B47E-40C8-AC42-342E3D2696F2}" name="Bounce Rate %"/>
    <tableColumn id="8" xr3:uid="{BCCCF842-8029-460F-BEB7-7D45A53C5D18}" name="Avg. Session Duration (sec)"/>
    <tableColumn id="9" xr3:uid="{B4F85C19-ABC6-45F5-B3B2-5D5090A3958C}" name="Pages Per Visit"/>
    <tableColumn id="10" xr3:uid="{D5EC1B57-823A-49D9-B075-800E63AC1061}" name="Bounce Rate"/>
    <tableColumn id="11" xr3:uid="{CAF53463-D3C2-407F-B729-90048FFB55A6}" name="Total Page Views"/>
    <tableColumn id="12" xr3:uid="{20540145-B477-4DBB-B707-4879CD141EA3}" name="Goal Conversion Rate %"/>
    <tableColumn id="13" xr3:uid="{A077F20A-1287-4191-8DF2-7975548A9D9A}" name="Channel"/>
    <tableColumn id="14" xr3:uid="{7B1BF6F2-29A6-4B07-AD5B-56511DF59869}" name="Conversion % (Channel)"/>
    <tableColumn id="15" xr3:uid="{43AF75C3-D787-495D-98E0-A8EDF49A65F5}" name="Campaign Name"/>
    <tableColumn id="16" xr3:uid="{59884CE0-0B41-477C-ABAD-57762D952118}" name="Conversion % (Campaign)"/>
    <tableColumn id="17" xr3:uid="{4A96C9CC-A96C-4D71-9FF6-EA606C12A01B}" name="Page Name"/>
    <tableColumn id="18" xr3:uid="{B9821B6C-7839-4ABC-A3A3-C861D1EBFE3F}" name="Conversion % (Page)"/>
    <tableColumn id="19" xr3:uid="{9C397881-24E8-44FD-BA9C-F71F9D81C805}" name="Year" dataDxfId="3">
      <calculatedColumnFormula>YEAR(Table1[[#This Row],[Visitor Date]])</calculatedColumnFormula>
    </tableColumn>
    <tableColumn id="20" xr3:uid="{BE86AAD8-D19C-45AE-8953-F9FBD906713A}" name="Month" dataDxfId="2">
      <calculatedColumnFormula>TEXT(Table1[[#This Row],[Visitor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4E4B-A483-43F1-93B4-6CD90BB2D252}">
  <dimension ref="A3:F10"/>
  <sheetViews>
    <sheetView tabSelected="1"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19.85546875" bestFit="1" customWidth="1"/>
    <col min="4" max="4" width="13.42578125" bestFit="1" customWidth="1"/>
    <col min="5" max="5" width="20.85546875" bestFit="1" customWidth="1"/>
    <col min="6" max="6" width="19.85546875" bestFit="1" customWidth="1"/>
  </cols>
  <sheetData>
    <row r="3" spans="1:6" x14ac:dyDescent="0.25">
      <c r="A3" s="3" t="s">
        <v>38</v>
      </c>
      <c r="B3" t="s">
        <v>41</v>
      </c>
      <c r="C3" t="s">
        <v>40</v>
      </c>
      <c r="D3" s="3" t="s">
        <v>38</v>
      </c>
      <c r="E3" s="3" t="s">
        <v>41</v>
      </c>
      <c r="F3" t="s">
        <v>40</v>
      </c>
    </row>
    <row r="4" spans="1:6" x14ac:dyDescent="0.25">
      <c r="A4" s="4" t="s">
        <v>28</v>
      </c>
      <c r="B4" s="5">
        <v>2677</v>
      </c>
      <c r="C4" s="6">
        <v>0.22482573276224069</v>
      </c>
      <c r="D4" s="4" t="s">
        <v>28</v>
      </c>
      <c r="E4" s="5">
        <v>2677</v>
      </c>
      <c r="F4" s="6">
        <v>0.22482573276224069</v>
      </c>
    </row>
    <row r="5" spans="1:6" x14ac:dyDescent="0.25">
      <c r="A5" s="4" t="s">
        <v>24</v>
      </c>
      <c r="B5" s="5">
        <v>2402</v>
      </c>
      <c r="C5" s="6">
        <v>0.20173007474594776</v>
      </c>
      <c r="D5" s="4" t="s">
        <v>24</v>
      </c>
      <c r="E5" s="5">
        <v>2402</v>
      </c>
      <c r="F5" s="6">
        <v>0.20173007474594776</v>
      </c>
    </row>
    <row r="6" spans="1:6" x14ac:dyDescent="0.25">
      <c r="A6" s="4" t="s">
        <v>32</v>
      </c>
      <c r="B6" s="5">
        <v>1424</v>
      </c>
      <c r="C6" s="6">
        <v>0.11959351641891325</v>
      </c>
      <c r="D6" s="4" t="s">
        <v>32</v>
      </c>
      <c r="E6" s="5">
        <v>1424</v>
      </c>
      <c r="F6" s="6">
        <v>0.11959351641891325</v>
      </c>
    </row>
    <row r="7" spans="1:6" x14ac:dyDescent="0.25">
      <c r="A7" s="4" t="s">
        <v>26</v>
      </c>
      <c r="B7" s="5">
        <v>1879</v>
      </c>
      <c r="C7" s="6">
        <v>0.15780633240950701</v>
      </c>
      <c r="D7" s="4" t="s">
        <v>26</v>
      </c>
      <c r="E7" s="5">
        <v>1879</v>
      </c>
      <c r="F7" s="6">
        <v>0.15780633240950701</v>
      </c>
    </row>
    <row r="8" spans="1:6" x14ac:dyDescent="0.25">
      <c r="A8" s="4" t="s">
        <v>30</v>
      </c>
      <c r="B8" s="5">
        <v>1370</v>
      </c>
      <c r="C8" s="6">
        <v>0.11505836902662299</v>
      </c>
      <c r="D8" s="4" t="s">
        <v>30</v>
      </c>
      <c r="E8" s="5">
        <v>1370</v>
      </c>
      <c r="F8" s="6">
        <v>0.11505836902662299</v>
      </c>
    </row>
    <row r="9" spans="1:6" x14ac:dyDescent="0.25">
      <c r="A9" s="4" t="s">
        <v>18</v>
      </c>
      <c r="B9" s="5">
        <v>2155</v>
      </c>
      <c r="C9" s="6">
        <v>0.1809859746367683</v>
      </c>
      <c r="D9" s="4" t="s">
        <v>18</v>
      </c>
      <c r="E9" s="5">
        <v>2155</v>
      </c>
      <c r="F9" s="6">
        <v>0.1809859746367683</v>
      </c>
    </row>
    <row r="10" spans="1:6" x14ac:dyDescent="0.25">
      <c r="A10" s="4" t="s">
        <v>39</v>
      </c>
      <c r="B10" s="5">
        <v>11907</v>
      </c>
      <c r="C10" s="6">
        <v>1</v>
      </c>
      <c r="D10" s="4" t="s">
        <v>39</v>
      </c>
      <c r="E10" s="5">
        <v>11907</v>
      </c>
      <c r="F10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E049-AFCD-43C5-80D6-545D58F18D6D}">
  <dimension ref="A1:T196"/>
  <sheetViews>
    <sheetView workbookViewId="0">
      <pane ySplit="1" topLeftCell="A2" activePane="bottomLeft" state="frozen"/>
      <selection pane="bottomLeft" sqref="A1:T196"/>
    </sheetView>
  </sheetViews>
  <sheetFormatPr defaultRowHeight="15" x14ac:dyDescent="0.25"/>
  <cols>
    <col min="1" max="1" width="19.5703125" customWidth="1"/>
    <col min="2" max="2" width="17.140625" customWidth="1"/>
    <col min="3" max="3" width="13.28515625" customWidth="1"/>
    <col min="4" max="4" width="14.42578125" customWidth="1"/>
    <col min="5" max="5" width="13.85546875" bestFit="1" customWidth="1"/>
    <col min="6" max="6" width="21.42578125" customWidth="1"/>
    <col min="7" max="7" width="16" customWidth="1"/>
    <col min="8" max="8" width="27" customWidth="1"/>
    <col min="9" max="9" width="16" customWidth="1"/>
    <col min="10" max="10" width="14" customWidth="1"/>
    <col min="11" max="11" width="17.85546875" customWidth="1"/>
    <col min="12" max="12" width="23.85546875" customWidth="1"/>
    <col min="13" max="13" width="11.42578125" bestFit="1" customWidth="1"/>
    <col min="14" max="14" width="24.140625" customWidth="1"/>
    <col min="15" max="15" width="17.85546875" customWidth="1"/>
    <col min="16" max="16" width="25.85546875" customWidth="1"/>
    <col min="17" max="17" width="13.140625" customWidth="1"/>
    <col min="18" max="18" width="21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36</v>
      </c>
      <c r="T1" s="2" t="s">
        <v>37</v>
      </c>
    </row>
    <row r="2" spans="1:20" x14ac:dyDescent="0.25">
      <c r="A2" t="s">
        <v>18</v>
      </c>
      <c r="B2">
        <v>91</v>
      </c>
      <c r="C2" t="s">
        <v>19</v>
      </c>
      <c r="D2">
        <v>52</v>
      </c>
      <c r="E2" s="1">
        <v>44570</v>
      </c>
      <c r="F2">
        <v>53</v>
      </c>
      <c r="G2">
        <v>54.88</v>
      </c>
      <c r="H2">
        <v>77</v>
      </c>
      <c r="I2">
        <v>4.3</v>
      </c>
      <c r="J2">
        <v>61.5</v>
      </c>
      <c r="K2">
        <v>69</v>
      </c>
      <c r="L2">
        <v>17.100000000000001</v>
      </c>
      <c r="M2" t="s">
        <v>20</v>
      </c>
      <c r="N2">
        <v>6.2</v>
      </c>
      <c r="O2" t="s">
        <v>21</v>
      </c>
      <c r="P2">
        <v>17.399999999999999</v>
      </c>
      <c r="Q2" t="s">
        <v>22</v>
      </c>
      <c r="R2">
        <v>22.2</v>
      </c>
      <c r="S2">
        <f>YEAR(Table1[[#This Row],[Visitor Date]])</f>
        <v>2022</v>
      </c>
      <c r="T2" t="str">
        <f>TEXT(Table1[[#This Row],[Visitor Date]],"MMM")</f>
        <v>Jan</v>
      </c>
    </row>
    <row r="3" spans="1:20" x14ac:dyDescent="0.25">
      <c r="A3" t="s">
        <v>18</v>
      </c>
      <c r="B3">
        <v>91</v>
      </c>
      <c r="C3" t="s">
        <v>23</v>
      </c>
      <c r="D3">
        <v>125</v>
      </c>
      <c r="E3" s="1">
        <v>44571</v>
      </c>
      <c r="F3">
        <v>30</v>
      </c>
      <c r="G3">
        <v>56.3</v>
      </c>
      <c r="H3">
        <v>73</v>
      </c>
      <c r="I3">
        <v>3.7</v>
      </c>
      <c r="J3">
        <v>59.2</v>
      </c>
      <c r="K3">
        <v>56</v>
      </c>
      <c r="L3">
        <v>16</v>
      </c>
      <c r="M3" t="s">
        <v>20</v>
      </c>
      <c r="N3">
        <v>6</v>
      </c>
      <c r="O3" t="s">
        <v>21</v>
      </c>
      <c r="P3">
        <v>16.8</v>
      </c>
      <c r="Q3" t="s">
        <v>22</v>
      </c>
      <c r="R3">
        <v>21.5</v>
      </c>
      <c r="S3">
        <f>YEAR(Table1[[#This Row],[Visitor Date]])</f>
        <v>2022</v>
      </c>
      <c r="T3" t="str">
        <f>TEXT(Table1[[#This Row],[Visitor Date]],"MMM")</f>
        <v>Jan</v>
      </c>
    </row>
    <row r="4" spans="1:20" x14ac:dyDescent="0.25">
      <c r="A4" t="s">
        <v>24</v>
      </c>
      <c r="B4">
        <v>44</v>
      </c>
      <c r="C4" t="s">
        <v>19</v>
      </c>
      <c r="D4">
        <v>45</v>
      </c>
      <c r="E4" s="1">
        <v>44572</v>
      </c>
      <c r="F4">
        <v>50</v>
      </c>
      <c r="G4">
        <v>91.47</v>
      </c>
      <c r="H4">
        <v>49</v>
      </c>
      <c r="I4">
        <v>2.9</v>
      </c>
      <c r="J4">
        <v>47.8</v>
      </c>
      <c r="K4">
        <v>33</v>
      </c>
      <c r="L4">
        <v>18</v>
      </c>
      <c r="M4" t="s">
        <v>24</v>
      </c>
      <c r="N4">
        <v>27.5</v>
      </c>
      <c r="O4" t="s">
        <v>21</v>
      </c>
      <c r="P4">
        <v>8.1</v>
      </c>
      <c r="Q4" t="s">
        <v>25</v>
      </c>
      <c r="R4">
        <v>6.9</v>
      </c>
      <c r="S4">
        <f>YEAR(Table1[[#This Row],[Visitor Date]])</f>
        <v>2022</v>
      </c>
      <c r="T4" t="str">
        <f>TEXT(Table1[[#This Row],[Visitor Date]],"MMM")</f>
        <v>Jan</v>
      </c>
    </row>
    <row r="5" spans="1:20" x14ac:dyDescent="0.25">
      <c r="A5" t="s">
        <v>24</v>
      </c>
      <c r="B5">
        <v>44</v>
      </c>
      <c r="C5" t="s">
        <v>23</v>
      </c>
      <c r="D5">
        <v>39</v>
      </c>
      <c r="E5" s="1">
        <v>44573</v>
      </c>
      <c r="F5">
        <v>42</v>
      </c>
      <c r="G5">
        <v>85.3</v>
      </c>
      <c r="H5">
        <v>35</v>
      </c>
      <c r="I5">
        <v>2.7</v>
      </c>
      <c r="J5">
        <v>45</v>
      </c>
      <c r="K5">
        <v>28</v>
      </c>
      <c r="L5">
        <v>17.5</v>
      </c>
      <c r="M5" t="s">
        <v>24</v>
      </c>
      <c r="N5">
        <v>26</v>
      </c>
      <c r="O5" t="s">
        <v>21</v>
      </c>
      <c r="P5">
        <v>7.5</v>
      </c>
      <c r="Q5" t="s">
        <v>25</v>
      </c>
      <c r="R5">
        <v>6.3</v>
      </c>
      <c r="S5">
        <f>YEAR(Table1[[#This Row],[Visitor Date]])</f>
        <v>2022</v>
      </c>
      <c r="T5" t="str">
        <f>TEXT(Table1[[#This Row],[Visitor Date]],"MMM")</f>
        <v>Jan</v>
      </c>
    </row>
    <row r="6" spans="1:20" x14ac:dyDescent="0.25">
      <c r="A6" t="s">
        <v>26</v>
      </c>
      <c r="B6">
        <v>26</v>
      </c>
      <c r="C6" t="s">
        <v>19</v>
      </c>
      <c r="D6">
        <v>30</v>
      </c>
      <c r="E6" s="1">
        <v>44574</v>
      </c>
      <c r="F6">
        <v>9</v>
      </c>
      <c r="G6">
        <v>6.04</v>
      </c>
      <c r="H6">
        <v>78</v>
      </c>
      <c r="I6">
        <v>3.2</v>
      </c>
      <c r="J6">
        <v>48.7</v>
      </c>
      <c r="K6">
        <v>35</v>
      </c>
      <c r="L6">
        <v>5.8</v>
      </c>
      <c r="M6" t="s">
        <v>27</v>
      </c>
      <c r="N6">
        <v>23.6</v>
      </c>
      <c r="O6" t="s">
        <v>21</v>
      </c>
      <c r="P6">
        <v>18.399999999999999</v>
      </c>
      <c r="Q6" t="s">
        <v>22</v>
      </c>
      <c r="R6">
        <v>11.6</v>
      </c>
      <c r="S6">
        <f>YEAR(Table1[[#This Row],[Visitor Date]])</f>
        <v>2022</v>
      </c>
      <c r="T6" t="str">
        <f>TEXT(Table1[[#This Row],[Visitor Date]],"MMM")</f>
        <v>Jan</v>
      </c>
    </row>
    <row r="7" spans="1:20" x14ac:dyDescent="0.25">
      <c r="A7" t="s">
        <v>26</v>
      </c>
      <c r="B7">
        <v>26</v>
      </c>
      <c r="C7" t="s">
        <v>23</v>
      </c>
      <c r="D7">
        <v>35</v>
      </c>
      <c r="E7" s="1">
        <v>44575</v>
      </c>
      <c r="F7">
        <v>14</v>
      </c>
      <c r="G7">
        <v>7.5</v>
      </c>
      <c r="H7">
        <v>75</v>
      </c>
      <c r="I7">
        <v>3.1</v>
      </c>
      <c r="J7">
        <v>46.2</v>
      </c>
      <c r="K7">
        <v>29</v>
      </c>
      <c r="L7">
        <v>5.5</v>
      </c>
      <c r="M7" t="s">
        <v>27</v>
      </c>
      <c r="N7">
        <v>22</v>
      </c>
      <c r="O7" t="s">
        <v>21</v>
      </c>
      <c r="P7">
        <v>16.7</v>
      </c>
      <c r="Q7" t="s">
        <v>22</v>
      </c>
      <c r="R7">
        <v>10.8</v>
      </c>
      <c r="S7">
        <f>YEAR(Table1[[#This Row],[Visitor Date]])</f>
        <v>2022</v>
      </c>
      <c r="T7" t="str">
        <f>TEXT(Table1[[#This Row],[Visitor Date]],"MMM")</f>
        <v>Jan</v>
      </c>
    </row>
    <row r="8" spans="1:20" x14ac:dyDescent="0.25">
      <c r="A8" t="s">
        <v>28</v>
      </c>
      <c r="B8">
        <v>68</v>
      </c>
      <c r="C8" t="s">
        <v>19</v>
      </c>
      <c r="D8">
        <v>155</v>
      </c>
      <c r="E8" s="1">
        <v>44576</v>
      </c>
      <c r="F8">
        <v>15</v>
      </c>
      <c r="G8">
        <v>90</v>
      </c>
      <c r="H8">
        <v>54</v>
      </c>
      <c r="I8">
        <v>3.4</v>
      </c>
      <c r="J8">
        <v>67.8</v>
      </c>
      <c r="K8">
        <v>34</v>
      </c>
      <c r="L8">
        <v>11</v>
      </c>
      <c r="M8" t="s">
        <v>20</v>
      </c>
      <c r="N8">
        <v>5.3</v>
      </c>
      <c r="O8" t="s">
        <v>29</v>
      </c>
      <c r="P8">
        <v>20.5</v>
      </c>
      <c r="Q8" t="s">
        <v>25</v>
      </c>
      <c r="R8">
        <v>19.5</v>
      </c>
      <c r="S8">
        <f>YEAR(Table1[[#This Row],[Visitor Date]])</f>
        <v>2022</v>
      </c>
      <c r="T8" t="str">
        <f>TEXT(Table1[[#This Row],[Visitor Date]],"MMM")</f>
        <v>Jan</v>
      </c>
    </row>
    <row r="9" spans="1:20" x14ac:dyDescent="0.25">
      <c r="A9" t="s">
        <v>28</v>
      </c>
      <c r="B9">
        <v>68</v>
      </c>
      <c r="C9" t="s">
        <v>23</v>
      </c>
      <c r="D9">
        <v>28</v>
      </c>
      <c r="E9" s="1">
        <v>44577</v>
      </c>
      <c r="F9">
        <v>10</v>
      </c>
      <c r="G9">
        <v>88</v>
      </c>
      <c r="H9">
        <v>50</v>
      </c>
      <c r="I9">
        <v>3</v>
      </c>
      <c r="J9">
        <v>4</v>
      </c>
      <c r="K9">
        <v>28</v>
      </c>
      <c r="L9">
        <v>10.199999999999999</v>
      </c>
      <c r="M9" t="s">
        <v>20</v>
      </c>
      <c r="N9">
        <v>4.8</v>
      </c>
      <c r="O9" t="s">
        <v>29</v>
      </c>
      <c r="P9">
        <v>19.7</v>
      </c>
      <c r="Q9" t="s">
        <v>25</v>
      </c>
      <c r="R9">
        <v>18</v>
      </c>
      <c r="S9">
        <f>YEAR(Table1[[#This Row],[Visitor Date]])</f>
        <v>2022</v>
      </c>
      <c r="T9" t="str">
        <f>TEXT(Table1[[#This Row],[Visitor Date]],"MMM")</f>
        <v>Jan</v>
      </c>
    </row>
    <row r="10" spans="1:20" x14ac:dyDescent="0.25">
      <c r="A10" t="s">
        <v>30</v>
      </c>
      <c r="B10">
        <v>14</v>
      </c>
      <c r="C10" t="s">
        <v>19</v>
      </c>
      <c r="D10">
        <v>114</v>
      </c>
      <c r="E10" s="1">
        <v>44578</v>
      </c>
      <c r="F10">
        <v>17</v>
      </c>
      <c r="G10">
        <v>70.63</v>
      </c>
      <c r="H10">
        <v>41</v>
      </c>
      <c r="I10">
        <v>3.9</v>
      </c>
      <c r="J10">
        <v>59.4</v>
      </c>
      <c r="K10">
        <v>95</v>
      </c>
      <c r="L10">
        <v>15.6</v>
      </c>
      <c r="M10" t="s">
        <v>27</v>
      </c>
      <c r="N10">
        <v>23.7</v>
      </c>
      <c r="O10" t="s">
        <v>31</v>
      </c>
      <c r="P10">
        <v>15.6</v>
      </c>
      <c r="Q10" t="s">
        <v>25</v>
      </c>
      <c r="R10">
        <v>15.1</v>
      </c>
      <c r="S10">
        <f>YEAR(Table1[[#This Row],[Visitor Date]])</f>
        <v>2022</v>
      </c>
      <c r="T10" t="str">
        <f>TEXT(Table1[[#This Row],[Visitor Date]],"MMM")</f>
        <v>Jan</v>
      </c>
    </row>
    <row r="11" spans="1:20" x14ac:dyDescent="0.25">
      <c r="A11" t="s">
        <v>30</v>
      </c>
      <c r="B11">
        <v>14</v>
      </c>
      <c r="C11" t="s">
        <v>23</v>
      </c>
      <c r="D11">
        <v>11</v>
      </c>
      <c r="E11" s="1">
        <v>44579</v>
      </c>
      <c r="F11">
        <v>8</v>
      </c>
      <c r="G11">
        <v>65</v>
      </c>
      <c r="H11">
        <v>25</v>
      </c>
      <c r="I11">
        <v>3.6</v>
      </c>
      <c r="J11">
        <v>55</v>
      </c>
      <c r="K11">
        <v>65</v>
      </c>
      <c r="L11">
        <v>14</v>
      </c>
      <c r="M11" t="s">
        <v>27</v>
      </c>
      <c r="N11">
        <v>21.5</v>
      </c>
      <c r="O11" t="s">
        <v>31</v>
      </c>
      <c r="P11">
        <v>13.9</v>
      </c>
      <c r="Q11" t="s">
        <v>25</v>
      </c>
      <c r="R11">
        <v>14.2</v>
      </c>
      <c r="S11">
        <f>YEAR(Table1[[#This Row],[Visitor Date]])</f>
        <v>2022</v>
      </c>
      <c r="T11" t="str">
        <f>TEXT(Table1[[#This Row],[Visitor Date]],"MMM")</f>
        <v>Jan</v>
      </c>
    </row>
    <row r="12" spans="1:20" x14ac:dyDescent="0.25">
      <c r="A12" t="s">
        <v>32</v>
      </c>
      <c r="B12">
        <v>33</v>
      </c>
      <c r="C12" t="s">
        <v>19</v>
      </c>
      <c r="D12">
        <v>30</v>
      </c>
      <c r="E12" s="1">
        <v>44580</v>
      </c>
      <c r="F12">
        <v>18</v>
      </c>
      <c r="G12">
        <v>65.34</v>
      </c>
      <c r="H12">
        <v>15</v>
      </c>
      <c r="I12">
        <v>4.0999999999999996</v>
      </c>
      <c r="J12">
        <v>52.3</v>
      </c>
      <c r="K12">
        <v>94</v>
      </c>
      <c r="L12">
        <v>16.2</v>
      </c>
      <c r="M12" t="s">
        <v>24</v>
      </c>
      <c r="N12">
        <v>18.899999999999999</v>
      </c>
      <c r="O12" t="s">
        <v>33</v>
      </c>
      <c r="P12">
        <v>13.8</v>
      </c>
      <c r="Q12" t="s">
        <v>34</v>
      </c>
      <c r="R12">
        <v>10.7</v>
      </c>
      <c r="S12">
        <f>YEAR(Table1[[#This Row],[Visitor Date]])</f>
        <v>2022</v>
      </c>
      <c r="T12" t="str">
        <f>TEXT(Table1[[#This Row],[Visitor Date]],"MMM")</f>
        <v>Jan</v>
      </c>
    </row>
    <row r="13" spans="1:20" x14ac:dyDescent="0.25">
      <c r="A13" t="s">
        <v>32</v>
      </c>
      <c r="B13">
        <v>33</v>
      </c>
      <c r="C13" t="s">
        <v>23</v>
      </c>
      <c r="D13">
        <v>26</v>
      </c>
      <c r="E13" s="1">
        <v>44581</v>
      </c>
      <c r="F13">
        <v>13</v>
      </c>
      <c r="G13">
        <v>60.2</v>
      </c>
      <c r="H13">
        <v>16</v>
      </c>
      <c r="I13">
        <v>3.8</v>
      </c>
      <c r="J13">
        <v>50.5</v>
      </c>
      <c r="K13">
        <v>75</v>
      </c>
      <c r="L13">
        <v>15</v>
      </c>
      <c r="M13" t="s">
        <v>24</v>
      </c>
      <c r="N13">
        <v>17.8</v>
      </c>
      <c r="O13" t="s">
        <v>33</v>
      </c>
      <c r="P13">
        <v>12</v>
      </c>
      <c r="Q13" t="s">
        <v>34</v>
      </c>
      <c r="R13">
        <v>9.5</v>
      </c>
      <c r="S13">
        <f>YEAR(Table1[[#This Row],[Visitor Date]])</f>
        <v>2022</v>
      </c>
      <c r="T13" t="str">
        <f>TEXT(Table1[[#This Row],[Visitor Date]],"MMM")</f>
        <v>Jan</v>
      </c>
    </row>
    <row r="14" spans="1:20" x14ac:dyDescent="0.25">
      <c r="A14" t="s">
        <v>18</v>
      </c>
      <c r="B14">
        <v>91</v>
      </c>
      <c r="C14" t="s">
        <v>19</v>
      </c>
      <c r="D14">
        <v>45</v>
      </c>
      <c r="E14" s="1">
        <v>44582</v>
      </c>
      <c r="F14">
        <v>50</v>
      </c>
      <c r="G14">
        <v>54.88</v>
      </c>
      <c r="H14">
        <v>77</v>
      </c>
      <c r="I14">
        <v>4.2</v>
      </c>
      <c r="J14">
        <v>61.5</v>
      </c>
      <c r="K14">
        <v>68</v>
      </c>
      <c r="L14">
        <v>17.100000000000001</v>
      </c>
      <c r="M14" t="s">
        <v>20</v>
      </c>
      <c r="N14">
        <v>6.2</v>
      </c>
      <c r="O14" t="s">
        <v>21</v>
      </c>
      <c r="P14">
        <v>17.399999999999999</v>
      </c>
      <c r="Q14" t="s">
        <v>22</v>
      </c>
      <c r="R14">
        <v>22.2</v>
      </c>
      <c r="S14">
        <f>YEAR(Table1[[#This Row],[Visitor Date]])</f>
        <v>2022</v>
      </c>
      <c r="T14" t="str">
        <f>TEXT(Table1[[#This Row],[Visitor Date]],"MMM")</f>
        <v>Jan</v>
      </c>
    </row>
    <row r="15" spans="1:20" x14ac:dyDescent="0.25">
      <c r="A15" t="s">
        <v>18</v>
      </c>
      <c r="B15">
        <v>91</v>
      </c>
      <c r="C15" t="s">
        <v>23</v>
      </c>
      <c r="D15">
        <v>28</v>
      </c>
      <c r="E15" s="1">
        <v>44583</v>
      </c>
      <c r="F15">
        <v>33</v>
      </c>
      <c r="G15">
        <v>56.3</v>
      </c>
      <c r="H15">
        <v>73</v>
      </c>
      <c r="I15">
        <v>3.7</v>
      </c>
      <c r="J15">
        <v>59.2</v>
      </c>
      <c r="K15">
        <v>57</v>
      </c>
      <c r="L15">
        <v>16</v>
      </c>
      <c r="M15" t="s">
        <v>20</v>
      </c>
      <c r="N15">
        <v>6</v>
      </c>
      <c r="O15" t="s">
        <v>21</v>
      </c>
      <c r="P15">
        <v>16.8</v>
      </c>
      <c r="Q15" t="s">
        <v>22</v>
      </c>
      <c r="R15">
        <v>21.5</v>
      </c>
      <c r="S15">
        <f>YEAR(Table1[[#This Row],[Visitor Date]])</f>
        <v>2022</v>
      </c>
      <c r="T15" t="str">
        <f>TEXT(Table1[[#This Row],[Visitor Date]],"MMM")</f>
        <v>Jan</v>
      </c>
    </row>
    <row r="16" spans="1:20" x14ac:dyDescent="0.25">
      <c r="A16" t="s">
        <v>24</v>
      </c>
      <c r="B16">
        <v>44</v>
      </c>
      <c r="C16" t="s">
        <v>19</v>
      </c>
      <c r="D16">
        <v>42</v>
      </c>
      <c r="E16" s="1">
        <v>44584</v>
      </c>
      <c r="F16">
        <v>46</v>
      </c>
      <c r="G16">
        <v>91.47</v>
      </c>
      <c r="H16">
        <v>49</v>
      </c>
      <c r="I16">
        <v>2.9</v>
      </c>
      <c r="J16">
        <v>47.8</v>
      </c>
      <c r="K16">
        <v>31</v>
      </c>
      <c r="L16">
        <v>18</v>
      </c>
      <c r="M16" t="s">
        <v>24</v>
      </c>
      <c r="N16">
        <v>27.5</v>
      </c>
      <c r="O16" t="s">
        <v>21</v>
      </c>
      <c r="P16">
        <v>8.1</v>
      </c>
      <c r="Q16" t="s">
        <v>25</v>
      </c>
      <c r="R16">
        <v>6.9</v>
      </c>
      <c r="S16">
        <f>YEAR(Table1[[#This Row],[Visitor Date]])</f>
        <v>2022</v>
      </c>
      <c r="T16" t="str">
        <f>TEXT(Table1[[#This Row],[Visitor Date]],"MMM")</f>
        <v>Jan</v>
      </c>
    </row>
    <row r="17" spans="1:20" x14ac:dyDescent="0.25">
      <c r="A17" t="s">
        <v>24</v>
      </c>
      <c r="B17">
        <v>44</v>
      </c>
      <c r="C17" t="s">
        <v>23</v>
      </c>
      <c r="D17">
        <v>38</v>
      </c>
      <c r="E17" s="1">
        <v>44585</v>
      </c>
      <c r="F17">
        <v>35</v>
      </c>
      <c r="G17">
        <v>85.3</v>
      </c>
      <c r="H17">
        <v>35</v>
      </c>
      <c r="I17">
        <v>2.5</v>
      </c>
      <c r="J17">
        <v>45</v>
      </c>
      <c r="K17">
        <v>27</v>
      </c>
      <c r="L17">
        <v>17.5</v>
      </c>
      <c r="M17" t="s">
        <v>24</v>
      </c>
      <c r="N17">
        <v>26</v>
      </c>
      <c r="O17" t="s">
        <v>21</v>
      </c>
      <c r="P17">
        <v>7.5</v>
      </c>
      <c r="Q17" t="s">
        <v>25</v>
      </c>
      <c r="R17">
        <v>6.3</v>
      </c>
      <c r="S17">
        <f>YEAR(Table1[[#This Row],[Visitor Date]])</f>
        <v>2022</v>
      </c>
      <c r="T17" t="str">
        <f>TEXT(Table1[[#This Row],[Visitor Date]],"MMM")</f>
        <v>Jan</v>
      </c>
    </row>
    <row r="18" spans="1:20" x14ac:dyDescent="0.25">
      <c r="A18" t="s">
        <v>26</v>
      </c>
      <c r="B18">
        <v>26</v>
      </c>
      <c r="C18" t="s">
        <v>19</v>
      </c>
      <c r="D18">
        <v>35</v>
      </c>
      <c r="E18" s="1">
        <v>44586</v>
      </c>
      <c r="F18">
        <v>9</v>
      </c>
      <c r="G18">
        <v>6.04</v>
      </c>
      <c r="H18">
        <v>78</v>
      </c>
      <c r="I18">
        <v>3.4</v>
      </c>
      <c r="J18">
        <v>48.7</v>
      </c>
      <c r="K18">
        <v>36</v>
      </c>
      <c r="L18">
        <v>5.8</v>
      </c>
      <c r="M18" t="s">
        <v>27</v>
      </c>
      <c r="N18">
        <v>23.6</v>
      </c>
      <c r="O18" t="s">
        <v>21</v>
      </c>
      <c r="P18">
        <v>18.399999999999999</v>
      </c>
      <c r="Q18" t="s">
        <v>22</v>
      </c>
      <c r="R18">
        <v>11.6</v>
      </c>
      <c r="S18">
        <f>YEAR(Table1[[#This Row],[Visitor Date]])</f>
        <v>2022</v>
      </c>
      <c r="T18" t="str">
        <f>TEXT(Table1[[#This Row],[Visitor Date]],"MMM")</f>
        <v>Jan</v>
      </c>
    </row>
    <row r="19" spans="1:20" x14ac:dyDescent="0.25">
      <c r="A19" t="s">
        <v>26</v>
      </c>
      <c r="B19">
        <v>26</v>
      </c>
      <c r="C19" t="s">
        <v>23</v>
      </c>
      <c r="D19">
        <v>32</v>
      </c>
      <c r="E19" s="1">
        <v>44587</v>
      </c>
      <c r="F19">
        <v>12</v>
      </c>
      <c r="G19">
        <v>7.5</v>
      </c>
      <c r="H19">
        <v>75</v>
      </c>
      <c r="I19">
        <v>3</v>
      </c>
      <c r="J19">
        <v>46.2</v>
      </c>
      <c r="K19">
        <v>29</v>
      </c>
      <c r="L19">
        <v>5.5</v>
      </c>
      <c r="M19" t="s">
        <v>27</v>
      </c>
      <c r="N19">
        <v>22</v>
      </c>
      <c r="O19" t="s">
        <v>21</v>
      </c>
      <c r="P19">
        <v>16.7</v>
      </c>
      <c r="Q19" t="s">
        <v>22</v>
      </c>
      <c r="R19">
        <v>10.8</v>
      </c>
      <c r="S19">
        <f>YEAR(Table1[[#This Row],[Visitor Date]])</f>
        <v>2022</v>
      </c>
      <c r="T19" t="str">
        <f>TEXT(Table1[[#This Row],[Visitor Date]],"MMM")</f>
        <v>Jan</v>
      </c>
    </row>
    <row r="20" spans="1:20" x14ac:dyDescent="0.25">
      <c r="A20" t="s">
        <v>28</v>
      </c>
      <c r="B20">
        <v>68</v>
      </c>
      <c r="C20" t="s">
        <v>19</v>
      </c>
      <c r="D20">
        <v>150</v>
      </c>
      <c r="E20" s="1">
        <v>44588</v>
      </c>
      <c r="F20">
        <v>13</v>
      </c>
      <c r="G20">
        <v>90</v>
      </c>
      <c r="H20">
        <v>54</v>
      </c>
      <c r="I20">
        <v>3.5</v>
      </c>
      <c r="J20">
        <v>67.8</v>
      </c>
      <c r="K20">
        <v>33</v>
      </c>
      <c r="L20">
        <v>11</v>
      </c>
      <c r="M20" t="s">
        <v>20</v>
      </c>
      <c r="N20">
        <v>5.3</v>
      </c>
      <c r="O20" t="s">
        <v>29</v>
      </c>
      <c r="P20">
        <v>20.5</v>
      </c>
      <c r="Q20" t="s">
        <v>25</v>
      </c>
      <c r="R20">
        <v>19.5</v>
      </c>
      <c r="S20">
        <f>YEAR(Table1[[#This Row],[Visitor Date]])</f>
        <v>2022</v>
      </c>
      <c r="T20" t="str">
        <f>TEXT(Table1[[#This Row],[Visitor Date]],"MMM")</f>
        <v>Jan</v>
      </c>
    </row>
    <row r="21" spans="1:20" x14ac:dyDescent="0.25">
      <c r="A21" t="s">
        <v>28</v>
      </c>
      <c r="B21">
        <v>68</v>
      </c>
      <c r="C21" t="s">
        <v>23</v>
      </c>
      <c r="D21">
        <v>30</v>
      </c>
      <c r="E21" s="1">
        <v>44589</v>
      </c>
      <c r="F21">
        <v>11</v>
      </c>
      <c r="G21">
        <v>88</v>
      </c>
      <c r="H21">
        <v>50</v>
      </c>
      <c r="I21">
        <v>3.2</v>
      </c>
      <c r="J21">
        <v>64</v>
      </c>
      <c r="K21">
        <v>28</v>
      </c>
      <c r="L21">
        <v>10.199999999999999</v>
      </c>
      <c r="M21" t="s">
        <v>20</v>
      </c>
      <c r="N21">
        <v>4.8</v>
      </c>
      <c r="O21" t="s">
        <v>29</v>
      </c>
      <c r="P21">
        <v>19.7</v>
      </c>
      <c r="Q21" t="s">
        <v>25</v>
      </c>
      <c r="R21">
        <v>18</v>
      </c>
      <c r="S21">
        <f>YEAR(Table1[[#This Row],[Visitor Date]])</f>
        <v>2022</v>
      </c>
      <c r="T21" t="str">
        <f>TEXT(Table1[[#This Row],[Visitor Date]],"MMM")</f>
        <v>Jan</v>
      </c>
    </row>
    <row r="22" spans="1:20" x14ac:dyDescent="0.25">
      <c r="A22" t="s">
        <v>30</v>
      </c>
      <c r="B22">
        <v>14</v>
      </c>
      <c r="C22" t="s">
        <v>19</v>
      </c>
      <c r="D22">
        <v>12</v>
      </c>
      <c r="E22" s="1">
        <v>44590</v>
      </c>
      <c r="F22">
        <v>15</v>
      </c>
      <c r="G22">
        <v>70.63</v>
      </c>
      <c r="H22">
        <v>41</v>
      </c>
      <c r="I22">
        <v>3.9</v>
      </c>
      <c r="J22">
        <v>59.4</v>
      </c>
      <c r="K22">
        <v>90</v>
      </c>
      <c r="L22">
        <v>15.6</v>
      </c>
      <c r="M22" t="s">
        <v>27</v>
      </c>
      <c r="N22">
        <v>23.7</v>
      </c>
      <c r="O22" t="s">
        <v>31</v>
      </c>
      <c r="P22">
        <v>15.6</v>
      </c>
      <c r="Q22" t="s">
        <v>25</v>
      </c>
      <c r="R22">
        <v>15.1</v>
      </c>
      <c r="S22">
        <f>YEAR(Table1[[#This Row],[Visitor Date]])</f>
        <v>2022</v>
      </c>
      <c r="T22" t="str">
        <f>TEXT(Table1[[#This Row],[Visitor Date]],"MMM")</f>
        <v>Jan</v>
      </c>
    </row>
    <row r="23" spans="1:20" x14ac:dyDescent="0.25">
      <c r="A23" t="s">
        <v>30</v>
      </c>
      <c r="B23">
        <v>14</v>
      </c>
      <c r="C23" t="s">
        <v>23</v>
      </c>
      <c r="D23">
        <v>39</v>
      </c>
      <c r="E23" s="1">
        <v>44591</v>
      </c>
      <c r="F23">
        <v>9</v>
      </c>
      <c r="G23">
        <v>65</v>
      </c>
      <c r="H23">
        <v>25</v>
      </c>
      <c r="I23">
        <v>3.5</v>
      </c>
      <c r="J23">
        <v>55</v>
      </c>
      <c r="K23">
        <v>64</v>
      </c>
      <c r="L23">
        <v>14</v>
      </c>
      <c r="M23" t="s">
        <v>27</v>
      </c>
      <c r="N23">
        <v>21.5</v>
      </c>
      <c r="O23" t="s">
        <v>31</v>
      </c>
      <c r="P23">
        <v>13.9</v>
      </c>
      <c r="Q23" t="s">
        <v>25</v>
      </c>
      <c r="R23">
        <v>14.2</v>
      </c>
      <c r="S23">
        <f>YEAR(Table1[[#This Row],[Visitor Date]])</f>
        <v>2022</v>
      </c>
      <c r="T23" t="str">
        <f>TEXT(Table1[[#This Row],[Visitor Date]],"MMM")</f>
        <v>Jan</v>
      </c>
    </row>
    <row r="24" spans="1:20" x14ac:dyDescent="0.25">
      <c r="A24" t="s">
        <v>32</v>
      </c>
      <c r="B24">
        <v>33</v>
      </c>
      <c r="C24" t="s">
        <v>19</v>
      </c>
      <c r="D24">
        <v>134</v>
      </c>
      <c r="E24" s="1">
        <v>44592</v>
      </c>
      <c r="F24">
        <v>17</v>
      </c>
      <c r="G24">
        <v>65.34</v>
      </c>
      <c r="H24">
        <v>26</v>
      </c>
      <c r="I24">
        <v>4.0999999999999996</v>
      </c>
      <c r="J24">
        <v>52.3</v>
      </c>
      <c r="K24">
        <v>93</v>
      </c>
      <c r="L24">
        <v>16.2</v>
      </c>
      <c r="M24" t="s">
        <v>24</v>
      </c>
      <c r="N24">
        <v>18.899999999999999</v>
      </c>
      <c r="O24" t="s">
        <v>33</v>
      </c>
      <c r="P24">
        <v>13.8</v>
      </c>
      <c r="Q24" t="s">
        <v>34</v>
      </c>
      <c r="R24">
        <v>10.7</v>
      </c>
      <c r="S24">
        <f>YEAR(Table1[[#This Row],[Visitor Date]])</f>
        <v>2022</v>
      </c>
      <c r="T24" t="str">
        <f>TEXT(Table1[[#This Row],[Visitor Date]],"MMM")</f>
        <v>Jan</v>
      </c>
    </row>
    <row r="25" spans="1:20" x14ac:dyDescent="0.25">
      <c r="A25" t="s">
        <v>32</v>
      </c>
      <c r="B25">
        <v>33</v>
      </c>
      <c r="C25" t="s">
        <v>23</v>
      </c>
      <c r="D25">
        <v>27</v>
      </c>
      <c r="E25" s="1">
        <v>44593</v>
      </c>
      <c r="F25">
        <v>13</v>
      </c>
      <c r="G25">
        <v>60.2</v>
      </c>
      <c r="H25">
        <v>27</v>
      </c>
      <c r="I25">
        <v>3.6</v>
      </c>
      <c r="J25">
        <v>50.5</v>
      </c>
      <c r="K25">
        <v>76</v>
      </c>
      <c r="L25">
        <v>15</v>
      </c>
      <c r="M25" t="s">
        <v>24</v>
      </c>
      <c r="N25">
        <v>17.8</v>
      </c>
      <c r="O25" t="s">
        <v>33</v>
      </c>
      <c r="P25">
        <v>12</v>
      </c>
      <c r="Q25" t="s">
        <v>34</v>
      </c>
      <c r="R25">
        <v>9.5</v>
      </c>
      <c r="S25">
        <f>YEAR(Table1[[#This Row],[Visitor Date]])</f>
        <v>2022</v>
      </c>
      <c r="T25" t="str">
        <f>TEXT(Table1[[#This Row],[Visitor Date]],"MMM")</f>
        <v>Feb</v>
      </c>
    </row>
    <row r="26" spans="1:20" x14ac:dyDescent="0.25">
      <c r="A26" t="s">
        <v>18</v>
      </c>
      <c r="B26">
        <v>91</v>
      </c>
      <c r="C26" t="s">
        <v>19</v>
      </c>
      <c r="D26">
        <v>25</v>
      </c>
      <c r="E26" s="1">
        <v>44594</v>
      </c>
      <c r="F26">
        <v>47</v>
      </c>
      <c r="G26">
        <v>54.88</v>
      </c>
      <c r="H26">
        <v>77</v>
      </c>
      <c r="I26">
        <v>4.4000000000000004</v>
      </c>
      <c r="J26">
        <v>61.5</v>
      </c>
      <c r="K26">
        <v>66</v>
      </c>
      <c r="L26">
        <v>17.100000000000001</v>
      </c>
      <c r="M26" t="s">
        <v>20</v>
      </c>
      <c r="N26">
        <v>6.2</v>
      </c>
      <c r="O26" t="s">
        <v>21</v>
      </c>
      <c r="P26">
        <v>17.399999999999999</v>
      </c>
      <c r="Q26" t="s">
        <v>22</v>
      </c>
      <c r="R26">
        <v>22.2</v>
      </c>
      <c r="S26">
        <f>YEAR(Table1[[#This Row],[Visitor Date]])</f>
        <v>2022</v>
      </c>
      <c r="T26" t="str">
        <f>TEXT(Table1[[#This Row],[Visitor Date]],"MMM")</f>
        <v>Feb</v>
      </c>
    </row>
    <row r="27" spans="1:20" x14ac:dyDescent="0.25">
      <c r="A27" t="s">
        <v>18</v>
      </c>
      <c r="B27">
        <v>91</v>
      </c>
      <c r="C27" t="s">
        <v>23</v>
      </c>
      <c r="D27">
        <v>300</v>
      </c>
      <c r="E27" s="1">
        <v>44595</v>
      </c>
      <c r="F27">
        <v>35</v>
      </c>
      <c r="G27">
        <v>56.3</v>
      </c>
      <c r="H27">
        <v>73</v>
      </c>
      <c r="I27">
        <v>3.9</v>
      </c>
      <c r="J27">
        <v>59.2</v>
      </c>
      <c r="K27">
        <v>56</v>
      </c>
      <c r="L27">
        <v>16</v>
      </c>
      <c r="M27" t="s">
        <v>20</v>
      </c>
      <c r="N27">
        <v>6</v>
      </c>
      <c r="O27" t="s">
        <v>21</v>
      </c>
      <c r="P27">
        <v>16.8</v>
      </c>
      <c r="Q27" t="s">
        <v>22</v>
      </c>
      <c r="R27">
        <v>21.5</v>
      </c>
      <c r="S27">
        <f>YEAR(Table1[[#This Row],[Visitor Date]])</f>
        <v>2022</v>
      </c>
      <c r="T27" t="str">
        <f>TEXT(Table1[[#This Row],[Visitor Date]],"MMM")</f>
        <v>Feb</v>
      </c>
    </row>
    <row r="28" spans="1:20" x14ac:dyDescent="0.25">
      <c r="A28" t="s">
        <v>24</v>
      </c>
      <c r="B28">
        <v>44</v>
      </c>
      <c r="C28" t="s">
        <v>19</v>
      </c>
      <c r="D28">
        <v>78</v>
      </c>
      <c r="E28" s="1">
        <v>44596</v>
      </c>
      <c r="F28">
        <v>44</v>
      </c>
      <c r="G28">
        <v>91.47</v>
      </c>
      <c r="H28">
        <v>49</v>
      </c>
      <c r="I28">
        <v>2.7</v>
      </c>
      <c r="J28">
        <v>47.8</v>
      </c>
      <c r="K28">
        <v>32</v>
      </c>
      <c r="L28">
        <v>18</v>
      </c>
      <c r="M28" t="s">
        <v>24</v>
      </c>
      <c r="N28">
        <v>27.5</v>
      </c>
      <c r="O28" t="s">
        <v>21</v>
      </c>
      <c r="P28">
        <v>8.1</v>
      </c>
      <c r="Q28" t="s">
        <v>25</v>
      </c>
      <c r="R28">
        <v>6.9</v>
      </c>
      <c r="S28">
        <f>YEAR(Table1[[#This Row],[Visitor Date]])</f>
        <v>2022</v>
      </c>
      <c r="T28" t="str">
        <f>TEXT(Table1[[#This Row],[Visitor Date]],"MMM")</f>
        <v>Feb</v>
      </c>
    </row>
    <row r="29" spans="1:20" x14ac:dyDescent="0.25">
      <c r="A29" t="s">
        <v>24</v>
      </c>
      <c r="B29">
        <v>44</v>
      </c>
      <c r="C29" t="s">
        <v>23</v>
      </c>
      <c r="D29">
        <v>350</v>
      </c>
      <c r="E29" s="1">
        <v>44597</v>
      </c>
      <c r="F29">
        <v>32</v>
      </c>
      <c r="G29">
        <v>85.3</v>
      </c>
      <c r="H29">
        <v>35</v>
      </c>
      <c r="I29">
        <v>2.5</v>
      </c>
      <c r="J29">
        <v>45</v>
      </c>
      <c r="K29">
        <v>29</v>
      </c>
      <c r="L29">
        <v>17.5</v>
      </c>
      <c r="M29" t="s">
        <v>24</v>
      </c>
      <c r="N29">
        <v>26</v>
      </c>
      <c r="O29" t="s">
        <v>21</v>
      </c>
      <c r="P29">
        <v>7.5</v>
      </c>
      <c r="Q29" t="s">
        <v>25</v>
      </c>
      <c r="R29">
        <v>6.3</v>
      </c>
      <c r="S29">
        <f>YEAR(Table1[[#This Row],[Visitor Date]])</f>
        <v>2022</v>
      </c>
      <c r="T29" t="str">
        <f>TEXT(Table1[[#This Row],[Visitor Date]],"MMM")</f>
        <v>Feb</v>
      </c>
    </row>
    <row r="30" spans="1:20" x14ac:dyDescent="0.25">
      <c r="A30" t="s">
        <v>26</v>
      </c>
      <c r="B30">
        <v>26</v>
      </c>
      <c r="C30" t="s">
        <v>19</v>
      </c>
      <c r="D30">
        <v>27</v>
      </c>
      <c r="E30" s="1">
        <v>44598</v>
      </c>
      <c r="F30">
        <v>8</v>
      </c>
      <c r="G30">
        <v>6.04</v>
      </c>
      <c r="H30">
        <v>78</v>
      </c>
      <c r="I30">
        <v>3.2</v>
      </c>
      <c r="J30">
        <v>48.7</v>
      </c>
      <c r="K30">
        <v>34</v>
      </c>
      <c r="L30">
        <v>5.8</v>
      </c>
      <c r="M30" t="s">
        <v>27</v>
      </c>
      <c r="N30">
        <v>23.6</v>
      </c>
      <c r="O30" t="s">
        <v>21</v>
      </c>
      <c r="P30">
        <v>18.399999999999999</v>
      </c>
      <c r="Q30" t="s">
        <v>22</v>
      </c>
      <c r="R30">
        <v>11.6</v>
      </c>
      <c r="S30">
        <f>YEAR(Table1[[#This Row],[Visitor Date]])</f>
        <v>2022</v>
      </c>
      <c r="T30" t="str">
        <f>TEXT(Table1[[#This Row],[Visitor Date]],"MMM")</f>
        <v>Feb</v>
      </c>
    </row>
    <row r="31" spans="1:20" x14ac:dyDescent="0.25">
      <c r="A31" t="s">
        <v>26</v>
      </c>
      <c r="B31">
        <v>26</v>
      </c>
      <c r="C31" t="s">
        <v>23</v>
      </c>
      <c r="D31">
        <v>30</v>
      </c>
      <c r="E31" s="1">
        <v>44599</v>
      </c>
      <c r="F31">
        <v>10</v>
      </c>
      <c r="G31">
        <v>7.5</v>
      </c>
      <c r="H31">
        <v>75</v>
      </c>
      <c r="I31">
        <v>3</v>
      </c>
      <c r="J31">
        <v>46.2</v>
      </c>
      <c r="K31">
        <v>27</v>
      </c>
      <c r="L31">
        <v>5.5</v>
      </c>
      <c r="M31" t="s">
        <v>27</v>
      </c>
      <c r="N31">
        <v>22</v>
      </c>
      <c r="O31" t="s">
        <v>21</v>
      </c>
      <c r="P31">
        <v>16.7</v>
      </c>
      <c r="Q31" t="s">
        <v>22</v>
      </c>
      <c r="R31">
        <v>10.8</v>
      </c>
      <c r="S31">
        <f>YEAR(Table1[[#This Row],[Visitor Date]])</f>
        <v>2022</v>
      </c>
      <c r="T31" t="str">
        <f>TEXT(Table1[[#This Row],[Visitor Date]],"MMM")</f>
        <v>Feb</v>
      </c>
    </row>
    <row r="32" spans="1:20" x14ac:dyDescent="0.25">
      <c r="A32" t="s">
        <v>28</v>
      </c>
      <c r="B32">
        <v>68</v>
      </c>
      <c r="C32" t="s">
        <v>19</v>
      </c>
      <c r="D32">
        <v>439</v>
      </c>
      <c r="E32" s="1">
        <v>44600</v>
      </c>
      <c r="F32">
        <v>11</v>
      </c>
      <c r="G32">
        <v>90</v>
      </c>
      <c r="H32">
        <v>54</v>
      </c>
      <c r="I32">
        <v>3.3</v>
      </c>
      <c r="J32">
        <v>7.8</v>
      </c>
      <c r="K32">
        <v>33</v>
      </c>
      <c r="L32">
        <v>11</v>
      </c>
      <c r="M32" t="s">
        <v>20</v>
      </c>
      <c r="N32">
        <v>5.3</v>
      </c>
      <c r="O32" t="s">
        <v>29</v>
      </c>
      <c r="P32">
        <v>20.5</v>
      </c>
      <c r="Q32" t="s">
        <v>25</v>
      </c>
      <c r="R32">
        <v>19.5</v>
      </c>
      <c r="S32">
        <f>YEAR(Table1[[#This Row],[Visitor Date]])</f>
        <v>2022</v>
      </c>
      <c r="T32" t="str">
        <f>TEXT(Table1[[#This Row],[Visitor Date]],"MMM")</f>
        <v>Feb</v>
      </c>
    </row>
    <row r="33" spans="1:20" x14ac:dyDescent="0.25">
      <c r="A33" t="s">
        <v>28</v>
      </c>
      <c r="B33">
        <v>68</v>
      </c>
      <c r="C33" t="s">
        <v>23</v>
      </c>
      <c r="D33">
        <v>350</v>
      </c>
      <c r="E33" s="1">
        <v>44601</v>
      </c>
      <c r="F33">
        <v>9</v>
      </c>
      <c r="G33">
        <v>88</v>
      </c>
      <c r="H33">
        <v>50</v>
      </c>
      <c r="I33">
        <v>3.1</v>
      </c>
      <c r="J33">
        <v>64</v>
      </c>
      <c r="K33">
        <v>29</v>
      </c>
      <c r="L33">
        <v>10.199999999999999</v>
      </c>
      <c r="M33" t="s">
        <v>20</v>
      </c>
      <c r="N33">
        <v>4.8</v>
      </c>
      <c r="O33" t="s">
        <v>29</v>
      </c>
      <c r="P33">
        <v>19.7</v>
      </c>
      <c r="Q33" t="s">
        <v>25</v>
      </c>
      <c r="R33">
        <v>18</v>
      </c>
      <c r="S33">
        <f>YEAR(Table1[[#This Row],[Visitor Date]])</f>
        <v>2022</v>
      </c>
      <c r="T33" t="str">
        <f>TEXT(Table1[[#This Row],[Visitor Date]],"MMM")</f>
        <v>Feb</v>
      </c>
    </row>
    <row r="34" spans="1:20" x14ac:dyDescent="0.25">
      <c r="A34" t="s">
        <v>30</v>
      </c>
      <c r="B34">
        <v>14</v>
      </c>
      <c r="C34" t="s">
        <v>19</v>
      </c>
      <c r="D34">
        <v>50</v>
      </c>
      <c r="E34" s="1">
        <v>44602</v>
      </c>
      <c r="F34">
        <v>14</v>
      </c>
      <c r="G34">
        <v>70.63</v>
      </c>
      <c r="H34">
        <v>41</v>
      </c>
      <c r="I34">
        <v>3.9</v>
      </c>
      <c r="J34">
        <v>59.4</v>
      </c>
      <c r="K34">
        <v>89</v>
      </c>
      <c r="L34">
        <v>15.6</v>
      </c>
      <c r="M34" t="s">
        <v>27</v>
      </c>
      <c r="N34">
        <v>23.7</v>
      </c>
      <c r="O34" t="s">
        <v>31</v>
      </c>
      <c r="P34">
        <v>15.6</v>
      </c>
      <c r="Q34" t="s">
        <v>25</v>
      </c>
      <c r="R34">
        <v>15.1</v>
      </c>
      <c r="S34">
        <f>YEAR(Table1[[#This Row],[Visitor Date]])</f>
        <v>2022</v>
      </c>
      <c r="T34" t="str">
        <f>TEXT(Table1[[#This Row],[Visitor Date]],"MMM")</f>
        <v>Feb</v>
      </c>
    </row>
    <row r="35" spans="1:20" x14ac:dyDescent="0.25">
      <c r="A35" t="s">
        <v>30</v>
      </c>
      <c r="B35">
        <v>14</v>
      </c>
      <c r="C35" t="s">
        <v>23</v>
      </c>
      <c r="D35">
        <v>80</v>
      </c>
      <c r="E35" s="1">
        <v>44603</v>
      </c>
      <c r="F35">
        <v>10</v>
      </c>
      <c r="G35">
        <v>65</v>
      </c>
      <c r="H35">
        <v>25</v>
      </c>
      <c r="I35">
        <v>3.5</v>
      </c>
      <c r="J35">
        <v>55</v>
      </c>
      <c r="K35">
        <v>65</v>
      </c>
      <c r="L35">
        <v>14</v>
      </c>
      <c r="M35" t="s">
        <v>27</v>
      </c>
      <c r="N35">
        <v>21.5</v>
      </c>
      <c r="O35" t="s">
        <v>31</v>
      </c>
      <c r="P35">
        <v>13.9</v>
      </c>
      <c r="Q35" t="s">
        <v>25</v>
      </c>
      <c r="R35">
        <v>14.2</v>
      </c>
      <c r="S35">
        <f>YEAR(Table1[[#This Row],[Visitor Date]])</f>
        <v>2022</v>
      </c>
      <c r="T35" t="str">
        <f>TEXT(Table1[[#This Row],[Visitor Date]],"MMM")</f>
        <v>Feb</v>
      </c>
    </row>
    <row r="36" spans="1:20" x14ac:dyDescent="0.25">
      <c r="A36" t="s">
        <v>32</v>
      </c>
      <c r="B36">
        <v>33</v>
      </c>
      <c r="C36" t="s">
        <v>19</v>
      </c>
      <c r="D36">
        <v>87</v>
      </c>
      <c r="E36" s="1">
        <v>44604</v>
      </c>
      <c r="F36">
        <v>19</v>
      </c>
      <c r="G36">
        <v>65.34</v>
      </c>
      <c r="H36">
        <v>26</v>
      </c>
      <c r="I36">
        <v>4.0999999999999996</v>
      </c>
      <c r="J36">
        <v>52.3</v>
      </c>
      <c r="K36">
        <v>93</v>
      </c>
      <c r="L36">
        <v>16.2</v>
      </c>
      <c r="M36" t="s">
        <v>24</v>
      </c>
      <c r="N36">
        <v>18.899999999999999</v>
      </c>
      <c r="O36" t="s">
        <v>33</v>
      </c>
      <c r="P36">
        <v>13.8</v>
      </c>
      <c r="Q36" t="s">
        <v>34</v>
      </c>
      <c r="R36">
        <v>10.7</v>
      </c>
      <c r="S36">
        <f>YEAR(Table1[[#This Row],[Visitor Date]])</f>
        <v>2022</v>
      </c>
      <c r="T36" t="str">
        <f>TEXT(Table1[[#This Row],[Visitor Date]],"MMM")</f>
        <v>Feb</v>
      </c>
    </row>
    <row r="37" spans="1:20" x14ac:dyDescent="0.25">
      <c r="A37" t="s">
        <v>32</v>
      </c>
      <c r="B37">
        <v>33</v>
      </c>
      <c r="C37" t="s">
        <v>23</v>
      </c>
      <c r="D37">
        <v>250</v>
      </c>
      <c r="E37" s="1">
        <v>44605</v>
      </c>
      <c r="F37">
        <v>15</v>
      </c>
      <c r="G37">
        <v>60.2</v>
      </c>
      <c r="H37">
        <v>27</v>
      </c>
      <c r="I37">
        <v>3.8</v>
      </c>
      <c r="J37">
        <v>50.5</v>
      </c>
      <c r="K37">
        <v>75</v>
      </c>
      <c r="L37">
        <v>15</v>
      </c>
      <c r="M37" t="s">
        <v>24</v>
      </c>
      <c r="N37">
        <v>17.8</v>
      </c>
      <c r="O37" t="s">
        <v>33</v>
      </c>
      <c r="P37">
        <v>12</v>
      </c>
      <c r="Q37" t="s">
        <v>34</v>
      </c>
      <c r="R37">
        <v>9.5</v>
      </c>
      <c r="S37">
        <f>YEAR(Table1[[#This Row],[Visitor Date]])</f>
        <v>2022</v>
      </c>
      <c r="T37" t="str">
        <f>TEXT(Table1[[#This Row],[Visitor Date]],"MMM")</f>
        <v>Feb</v>
      </c>
    </row>
    <row r="38" spans="1:20" x14ac:dyDescent="0.25">
      <c r="A38" t="s">
        <v>18</v>
      </c>
      <c r="B38">
        <v>91</v>
      </c>
      <c r="C38" t="s">
        <v>19</v>
      </c>
      <c r="D38">
        <v>40</v>
      </c>
      <c r="E38" s="1">
        <v>44606</v>
      </c>
      <c r="F38">
        <v>47</v>
      </c>
      <c r="G38">
        <v>54.88</v>
      </c>
      <c r="H38">
        <v>77</v>
      </c>
      <c r="I38">
        <v>4.4000000000000004</v>
      </c>
      <c r="J38">
        <v>61.5</v>
      </c>
      <c r="K38">
        <v>66</v>
      </c>
      <c r="L38">
        <v>17.100000000000001</v>
      </c>
      <c r="M38" t="s">
        <v>20</v>
      </c>
      <c r="N38">
        <v>6.2</v>
      </c>
      <c r="O38" t="s">
        <v>21</v>
      </c>
      <c r="P38">
        <v>17.399999999999999</v>
      </c>
      <c r="Q38" t="s">
        <v>22</v>
      </c>
      <c r="R38">
        <v>22.2</v>
      </c>
      <c r="S38">
        <f>YEAR(Table1[[#This Row],[Visitor Date]])</f>
        <v>2022</v>
      </c>
      <c r="T38" t="str">
        <f>TEXT(Table1[[#This Row],[Visitor Date]],"MMM")</f>
        <v>Feb</v>
      </c>
    </row>
    <row r="39" spans="1:20" x14ac:dyDescent="0.25">
      <c r="A39" t="s">
        <v>18</v>
      </c>
      <c r="B39">
        <v>91</v>
      </c>
      <c r="C39" t="s">
        <v>23</v>
      </c>
      <c r="D39">
        <v>30</v>
      </c>
      <c r="E39" s="1">
        <v>44607</v>
      </c>
      <c r="F39">
        <v>35</v>
      </c>
      <c r="G39">
        <v>56.3</v>
      </c>
      <c r="H39">
        <v>73</v>
      </c>
      <c r="I39">
        <v>3.9</v>
      </c>
      <c r="J39">
        <v>59.2</v>
      </c>
      <c r="K39">
        <v>56</v>
      </c>
      <c r="L39">
        <v>16</v>
      </c>
      <c r="M39" t="s">
        <v>20</v>
      </c>
      <c r="N39">
        <v>6</v>
      </c>
      <c r="O39" t="s">
        <v>21</v>
      </c>
      <c r="P39">
        <v>16.8</v>
      </c>
      <c r="Q39" t="s">
        <v>22</v>
      </c>
      <c r="R39">
        <v>21.5</v>
      </c>
      <c r="S39">
        <f>YEAR(Table1[[#This Row],[Visitor Date]])</f>
        <v>2022</v>
      </c>
      <c r="T39" t="str">
        <f>TEXT(Table1[[#This Row],[Visitor Date]],"MMM")</f>
        <v>Feb</v>
      </c>
    </row>
    <row r="40" spans="1:20" x14ac:dyDescent="0.25">
      <c r="A40" t="s">
        <v>24</v>
      </c>
      <c r="B40">
        <v>44</v>
      </c>
      <c r="C40" t="s">
        <v>19</v>
      </c>
      <c r="D40">
        <v>46</v>
      </c>
      <c r="E40" s="1">
        <v>44608</v>
      </c>
      <c r="F40">
        <v>44</v>
      </c>
      <c r="G40">
        <v>91.47</v>
      </c>
      <c r="H40">
        <v>49</v>
      </c>
      <c r="I40">
        <v>2.7</v>
      </c>
      <c r="J40">
        <v>47.8</v>
      </c>
      <c r="K40">
        <v>32</v>
      </c>
      <c r="L40">
        <v>18</v>
      </c>
      <c r="M40" t="s">
        <v>24</v>
      </c>
      <c r="N40">
        <v>27.5</v>
      </c>
      <c r="O40" t="s">
        <v>21</v>
      </c>
      <c r="P40">
        <v>8.1</v>
      </c>
      <c r="Q40" t="s">
        <v>25</v>
      </c>
      <c r="R40">
        <v>6.9</v>
      </c>
      <c r="S40">
        <f>YEAR(Table1[[#This Row],[Visitor Date]])</f>
        <v>2022</v>
      </c>
      <c r="T40" t="str">
        <f>TEXT(Table1[[#This Row],[Visitor Date]],"MMM")</f>
        <v>Feb</v>
      </c>
    </row>
    <row r="41" spans="1:20" x14ac:dyDescent="0.25">
      <c r="A41" t="s">
        <v>24</v>
      </c>
      <c r="B41">
        <v>44</v>
      </c>
      <c r="C41" t="s">
        <v>23</v>
      </c>
      <c r="D41">
        <v>135</v>
      </c>
      <c r="E41" s="1">
        <v>44609</v>
      </c>
      <c r="F41">
        <v>32</v>
      </c>
      <c r="G41">
        <v>85.3</v>
      </c>
      <c r="H41">
        <v>35</v>
      </c>
      <c r="I41">
        <v>2.5</v>
      </c>
      <c r="J41">
        <v>45</v>
      </c>
      <c r="K41">
        <v>29</v>
      </c>
      <c r="L41">
        <v>17.5</v>
      </c>
      <c r="M41" t="s">
        <v>24</v>
      </c>
      <c r="N41">
        <v>26</v>
      </c>
      <c r="O41" t="s">
        <v>21</v>
      </c>
      <c r="P41">
        <v>7.5</v>
      </c>
      <c r="Q41" t="s">
        <v>25</v>
      </c>
      <c r="R41">
        <v>6.3</v>
      </c>
      <c r="S41">
        <f>YEAR(Table1[[#This Row],[Visitor Date]])</f>
        <v>2022</v>
      </c>
      <c r="T41" t="str">
        <f>TEXT(Table1[[#This Row],[Visitor Date]],"MMM")</f>
        <v>Feb</v>
      </c>
    </row>
    <row r="42" spans="1:20" x14ac:dyDescent="0.25">
      <c r="A42" t="s">
        <v>26</v>
      </c>
      <c r="B42">
        <v>26</v>
      </c>
      <c r="C42" t="s">
        <v>19</v>
      </c>
      <c r="D42">
        <v>42</v>
      </c>
      <c r="E42" s="1">
        <v>44610</v>
      </c>
      <c r="F42">
        <v>8</v>
      </c>
      <c r="G42">
        <v>6.04</v>
      </c>
      <c r="H42">
        <v>78</v>
      </c>
      <c r="I42">
        <v>3.2</v>
      </c>
      <c r="J42">
        <v>48.7</v>
      </c>
      <c r="K42">
        <v>34</v>
      </c>
      <c r="L42">
        <v>5.8</v>
      </c>
      <c r="M42" t="s">
        <v>27</v>
      </c>
      <c r="N42">
        <v>23.6</v>
      </c>
      <c r="O42" t="s">
        <v>21</v>
      </c>
      <c r="P42">
        <v>18.399999999999999</v>
      </c>
      <c r="Q42" t="s">
        <v>22</v>
      </c>
      <c r="R42">
        <v>11.6</v>
      </c>
      <c r="S42">
        <f>YEAR(Table1[[#This Row],[Visitor Date]])</f>
        <v>2022</v>
      </c>
      <c r="T42" t="str">
        <f>TEXT(Table1[[#This Row],[Visitor Date]],"MMM")</f>
        <v>Feb</v>
      </c>
    </row>
    <row r="43" spans="1:20" x14ac:dyDescent="0.25">
      <c r="A43" t="s">
        <v>26</v>
      </c>
      <c r="B43">
        <v>26</v>
      </c>
      <c r="C43" t="s">
        <v>23</v>
      </c>
      <c r="D43">
        <v>30</v>
      </c>
      <c r="E43" s="1">
        <v>44611</v>
      </c>
      <c r="F43">
        <v>10</v>
      </c>
      <c r="G43">
        <v>7.5</v>
      </c>
      <c r="H43">
        <v>75</v>
      </c>
      <c r="I43">
        <v>3</v>
      </c>
      <c r="J43">
        <v>46.2</v>
      </c>
      <c r="K43">
        <v>27</v>
      </c>
      <c r="L43">
        <v>5.5</v>
      </c>
      <c r="M43" t="s">
        <v>27</v>
      </c>
      <c r="N43">
        <v>22</v>
      </c>
      <c r="O43" t="s">
        <v>21</v>
      </c>
      <c r="P43">
        <v>16.7</v>
      </c>
      <c r="Q43" t="s">
        <v>22</v>
      </c>
      <c r="R43">
        <v>10.8</v>
      </c>
      <c r="S43">
        <f>YEAR(Table1[[#This Row],[Visitor Date]])</f>
        <v>2022</v>
      </c>
      <c r="T43" t="str">
        <f>TEXT(Table1[[#This Row],[Visitor Date]],"MMM")</f>
        <v>Feb</v>
      </c>
    </row>
    <row r="44" spans="1:20" x14ac:dyDescent="0.25">
      <c r="A44" t="s">
        <v>28</v>
      </c>
      <c r="B44">
        <v>68</v>
      </c>
      <c r="C44" t="s">
        <v>19</v>
      </c>
      <c r="D44">
        <v>43</v>
      </c>
      <c r="E44" s="1">
        <v>44612</v>
      </c>
      <c r="F44">
        <v>11</v>
      </c>
      <c r="G44">
        <v>90</v>
      </c>
      <c r="H44">
        <v>54</v>
      </c>
      <c r="I44">
        <v>3.3</v>
      </c>
      <c r="J44">
        <v>7.8</v>
      </c>
      <c r="K44">
        <v>33</v>
      </c>
      <c r="L44">
        <v>11</v>
      </c>
      <c r="M44" t="s">
        <v>20</v>
      </c>
      <c r="N44">
        <v>5.3</v>
      </c>
      <c r="O44" t="s">
        <v>29</v>
      </c>
      <c r="P44">
        <v>20.5</v>
      </c>
      <c r="Q44" t="s">
        <v>25</v>
      </c>
      <c r="R44">
        <v>19.5</v>
      </c>
      <c r="S44">
        <f>YEAR(Table1[[#This Row],[Visitor Date]])</f>
        <v>2022</v>
      </c>
      <c r="T44" t="str">
        <f>TEXT(Table1[[#This Row],[Visitor Date]],"MMM")</f>
        <v>Feb</v>
      </c>
    </row>
    <row r="45" spans="1:20" x14ac:dyDescent="0.25">
      <c r="A45" t="s">
        <v>28</v>
      </c>
      <c r="B45">
        <v>68</v>
      </c>
      <c r="C45" t="s">
        <v>23</v>
      </c>
      <c r="D45">
        <v>35</v>
      </c>
      <c r="E45" s="1">
        <v>44613</v>
      </c>
      <c r="F45">
        <v>9</v>
      </c>
      <c r="G45">
        <v>88</v>
      </c>
      <c r="H45">
        <v>50</v>
      </c>
      <c r="I45">
        <v>3.1</v>
      </c>
      <c r="J45">
        <v>4</v>
      </c>
      <c r="K45">
        <v>29</v>
      </c>
      <c r="L45">
        <v>10.199999999999999</v>
      </c>
      <c r="M45" t="s">
        <v>20</v>
      </c>
      <c r="N45">
        <v>4.8</v>
      </c>
      <c r="O45" t="s">
        <v>29</v>
      </c>
      <c r="P45">
        <v>19.7</v>
      </c>
      <c r="Q45" t="s">
        <v>25</v>
      </c>
      <c r="R45">
        <v>18</v>
      </c>
      <c r="S45">
        <f>YEAR(Table1[[#This Row],[Visitor Date]])</f>
        <v>2022</v>
      </c>
      <c r="T45" t="str">
        <f>TEXT(Table1[[#This Row],[Visitor Date]],"MMM")</f>
        <v>Feb</v>
      </c>
    </row>
    <row r="46" spans="1:20" x14ac:dyDescent="0.25">
      <c r="A46" t="s">
        <v>30</v>
      </c>
      <c r="B46">
        <v>14</v>
      </c>
      <c r="C46" t="s">
        <v>19</v>
      </c>
      <c r="D46">
        <v>100</v>
      </c>
      <c r="E46" s="1">
        <v>44614</v>
      </c>
      <c r="F46">
        <v>14</v>
      </c>
      <c r="G46">
        <v>70.63</v>
      </c>
      <c r="H46">
        <v>41</v>
      </c>
      <c r="I46">
        <v>3.9</v>
      </c>
      <c r="J46">
        <v>59.4</v>
      </c>
      <c r="K46">
        <v>89</v>
      </c>
      <c r="L46">
        <v>15.6</v>
      </c>
      <c r="M46" t="s">
        <v>27</v>
      </c>
      <c r="N46">
        <v>23.7</v>
      </c>
      <c r="O46" t="s">
        <v>31</v>
      </c>
      <c r="P46">
        <v>15.6</v>
      </c>
      <c r="Q46" t="s">
        <v>25</v>
      </c>
      <c r="R46">
        <v>15.1</v>
      </c>
      <c r="S46">
        <f>YEAR(Table1[[#This Row],[Visitor Date]])</f>
        <v>2022</v>
      </c>
      <c r="T46" t="str">
        <f>TEXT(Table1[[#This Row],[Visitor Date]],"MMM")</f>
        <v>Feb</v>
      </c>
    </row>
    <row r="47" spans="1:20" x14ac:dyDescent="0.25">
      <c r="A47" t="s">
        <v>30</v>
      </c>
      <c r="B47">
        <v>14</v>
      </c>
      <c r="C47" t="s">
        <v>23</v>
      </c>
      <c r="D47">
        <v>8</v>
      </c>
      <c r="E47" s="1">
        <v>44615</v>
      </c>
      <c r="F47">
        <v>10</v>
      </c>
      <c r="G47">
        <v>65</v>
      </c>
      <c r="H47">
        <v>25</v>
      </c>
      <c r="I47">
        <v>3.5</v>
      </c>
      <c r="J47">
        <v>55</v>
      </c>
      <c r="K47">
        <v>65</v>
      </c>
      <c r="L47">
        <v>14</v>
      </c>
      <c r="M47" t="s">
        <v>27</v>
      </c>
      <c r="N47">
        <v>21.5</v>
      </c>
      <c r="O47" t="s">
        <v>31</v>
      </c>
      <c r="P47">
        <v>13.9</v>
      </c>
      <c r="Q47" t="s">
        <v>25</v>
      </c>
      <c r="R47">
        <v>14.2</v>
      </c>
      <c r="S47">
        <f>YEAR(Table1[[#This Row],[Visitor Date]])</f>
        <v>2022</v>
      </c>
      <c r="T47" t="str">
        <f>TEXT(Table1[[#This Row],[Visitor Date]],"MMM")</f>
        <v>Feb</v>
      </c>
    </row>
    <row r="48" spans="1:20" x14ac:dyDescent="0.25">
      <c r="A48" t="s">
        <v>32</v>
      </c>
      <c r="B48">
        <v>33</v>
      </c>
      <c r="C48" t="s">
        <v>19</v>
      </c>
      <c r="D48">
        <v>38</v>
      </c>
      <c r="E48" s="1">
        <v>44616</v>
      </c>
      <c r="F48">
        <v>19</v>
      </c>
      <c r="G48">
        <v>65.34</v>
      </c>
      <c r="H48">
        <v>26</v>
      </c>
      <c r="I48">
        <v>4.0999999999999996</v>
      </c>
      <c r="J48">
        <v>20</v>
      </c>
      <c r="K48">
        <v>93</v>
      </c>
      <c r="L48">
        <v>16.2</v>
      </c>
      <c r="M48" t="s">
        <v>24</v>
      </c>
      <c r="N48">
        <v>18.899999999999999</v>
      </c>
      <c r="O48" t="s">
        <v>33</v>
      </c>
      <c r="P48">
        <v>13.8</v>
      </c>
      <c r="Q48" t="s">
        <v>34</v>
      </c>
      <c r="R48">
        <v>10.7</v>
      </c>
      <c r="S48">
        <f>YEAR(Table1[[#This Row],[Visitor Date]])</f>
        <v>2022</v>
      </c>
      <c r="T48" t="str">
        <f>TEXT(Table1[[#This Row],[Visitor Date]],"MMM")</f>
        <v>Feb</v>
      </c>
    </row>
    <row r="49" spans="1:20" x14ac:dyDescent="0.25">
      <c r="A49" t="s">
        <v>32</v>
      </c>
      <c r="B49">
        <v>33</v>
      </c>
      <c r="C49" t="s">
        <v>23</v>
      </c>
      <c r="D49">
        <v>25</v>
      </c>
      <c r="E49" s="1">
        <v>44617</v>
      </c>
      <c r="F49">
        <v>15</v>
      </c>
      <c r="G49">
        <v>60.2</v>
      </c>
      <c r="H49">
        <v>27</v>
      </c>
      <c r="I49">
        <v>3.8</v>
      </c>
      <c r="J49">
        <v>50.5</v>
      </c>
      <c r="K49">
        <v>75</v>
      </c>
      <c r="L49">
        <v>15</v>
      </c>
      <c r="M49" t="s">
        <v>24</v>
      </c>
      <c r="N49">
        <v>17.8</v>
      </c>
      <c r="O49" t="s">
        <v>33</v>
      </c>
      <c r="P49">
        <v>12</v>
      </c>
      <c r="Q49" t="s">
        <v>34</v>
      </c>
      <c r="R49">
        <v>9.5</v>
      </c>
      <c r="S49">
        <f>YEAR(Table1[[#This Row],[Visitor Date]])</f>
        <v>2022</v>
      </c>
      <c r="T49" t="str">
        <f>TEXT(Table1[[#This Row],[Visitor Date]],"MMM")</f>
        <v>Feb</v>
      </c>
    </row>
    <row r="50" spans="1:20" x14ac:dyDescent="0.25">
      <c r="A50" t="s">
        <v>18</v>
      </c>
      <c r="B50">
        <v>91</v>
      </c>
      <c r="C50" t="s">
        <v>19</v>
      </c>
      <c r="D50">
        <v>40</v>
      </c>
      <c r="E50" s="1">
        <v>44618</v>
      </c>
      <c r="F50">
        <v>47</v>
      </c>
      <c r="G50">
        <v>54.88</v>
      </c>
      <c r="H50">
        <v>77</v>
      </c>
      <c r="I50">
        <v>4.4000000000000004</v>
      </c>
      <c r="J50">
        <v>1.5</v>
      </c>
      <c r="K50">
        <v>66</v>
      </c>
      <c r="L50">
        <v>17.100000000000001</v>
      </c>
      <c r="M50" t="s">
        <v>20</v>
      </c>
      <c r="N50">
        <v>6.2</v>
      </c>
      <c r="O50" t="s">
        <v>21</v>
      </c>
      <c r="P50">
        <v>17.399999999999999</v>
      </c>
      <c r="Q50" t="s">
        <v>22</v>
      </c>
      <c r="R50">
        <v>22.2</v>
      </c>
      <c r="S50">
        <f>YEAR(Table1[[#This Row],[Visitor Date]])</f>
        <v>2022</v>
      </c>
      <c r="T50" t="str">
        <f>TEXT(Table1[[#This Row],[Visitor Date]],"MMM")</f>
        <v>Feb</v>
      </c>
    </row>
    <row r="51" spans="1:20" x14ac:dyDescent="0.25">
      <c r="A51" t="s">
        <v>18</v>
      </c>
      <c r="B51">
        <v>91</v>
      </c>
      <c r="C51" t="s">
        <v>23</v>
      </c>
      <c r="D51">
        <v>30</v>
      </c>
      <c r="E51" s="1">
        <v>44619</v>
      </c>
      <c r="F51">
        <v>35</v>
      </c>
      <c r="G51">
        <v>56.3</v>
      </c>
      <c r="H51">
        <v>73</v>
      </c>
      <c r="I51">
        <v>3.9</v>
      </c>
      <c r="J51">
        <v>59.2</v>
      </c>
      <c r="K51">
        <v>56</v>
      </c>
      <c r="L51">
        <v>16</v>
      </c>
      <c r="M51" t="s">
        <v>20</v>
      </c>
      <c r="N51">
        <v>6</v>
      </c>
      <c r="O51" t="s">
        <v>21</v>
      </c>
      <c r="P51">
        <v>16.8</v>
      </c>
      <c r="Q51" t="s">
        <v>22</v>
      </c>
      <c r="R51">
        <v>21.5</v>
      </c>
      <c r="S51">
        <f>YEAR(Table1[[#This Row],[Visitor Date]])</f>
        <v>2022</v>
      </c>
      <c r="T51" t="str">
        <f>TEXT(Table1[[#This Row],[Visitor Date]],"MMM")</f>
        <v>Feb</v>
      </c>
    </row>
    <row r="52" spans="1:20" x14ac:dyDescent="0.25">
      <c r="A52" t="s">
        <v>24</v>
      </c>
      <c r="B52">
        <v>44</v>
      </c>
      <c r="C52" t="s">
        <v>19</v>
      </c>
      <c r="D52">
        <v>46</v>
      </c>
      <c r="E52" s="1">
        <v>44620</v>
      </c>
      <c r="F52">
        <v>44</v>
      </c>
      <c r="G52">
        <v>91.47</v>
      </c>
      <c r="H52">
        <v>49</v>
      </c>
      <c r="I52">
        <v>2.7</v>
      </c>
      <c r="J52">
        <v>47.8</v>
      </c>
      <c r="K52">
        <v>32</v>
      </c>
      <c r="L52">
        <v>18</v>
      </c>
      <c r="M52" t="s">
        <v>24</v>
      </c>
      <c r="N52">
        <v>27.5</v>
      </c>
      <c r="O52" t="s">
        <v>21</v>
      </c>
      <c r="P52">
        <v>8.1</v>
      </c>
      <c r="Q52" t="s">
        <v>25</v>
      </c>
      <c r="R52">
        <v>6.9</v>
      </c>
      <c r="S52">
        <f>YEAR(Table1[[#This Row],[Visitor Date]])</f>
        <v>2022</v>
      </c>
      <c r="T52" t="str">
        <f>TEXT(Table1[[#This Row],[Visitor Date]],"MMM")</f>
        <v>Feb</v>
      </c>
    </row>
    <row r="53" spans="1:20" x14ac:dyDescent="0.25">
      <c r="A53" t="s">
        <v>24</v>
      </c>
      <c r="B53">
        <v>44</v>
      </c>
      <c r="C53" t="s">
        <v>23</v>
      </c>
      <c r="D53">
        <v>135</v>
      </c>
      <c r="E53" s="1">
        <v>44621</v>
      </c>
      <c r="F53">
        <v>32</v>
      </c>
      <c r="G53">
        <v>85.3</v>
      </c>
      <c r="H53">
        <v>35</v>
      </c>
      <c r="I53">
        <v>2.5</v>
      </c>
      <c r="J53">
        <v>45</v>
      </c>
      <c r="K53">
        <v>29</v>
      </c>
      <c r="L53">
        <v>17.5</v>
      </c>
      <c r="M53" t="s">
        <v>24</v>
      </c>
      <c r="N53">
        <v>26</v>
      </c>
      <c r="O53" t="s">
        <v>21</v>
      </c>
      <c r="P53">
        <v>7.5</v>
      </c>
      <c r="Q53" t="s">
        <v>25</v>
      </c>
      <c r="R53">
        <v>6.3</v>
      </c>
      <c r="S53">
        <f>YEAR(Table1[[#This Row],[Visitor Date]])</f>
        <v>2022</v>
      </c>
      <c r="T53" t="str">
        <f>TEXT(Table1[[#This Row],[Visitor Date]],"MMM")</f>
        <v>Mar</v>
      </c>
    </row>
    <row r="54" spans="1:20" x14ac:dyDescent="0.25">
      <c r="A54" t="s">
        <v>26</v>
      </c>
      <c r="B54">
        <v>26</v>
      </c>
      <c r="C54" t="s">
        <v>19</v>
      </c>
      <c r="D54">
        <v>42</v>
      </c>
      <c r="E54" s="1">
        <v>44622</v>
      </c>
      <c r="F54">
        <v>8</v>
      </c>
      <c r="G54">
        <v>6.04</v>
      </c>
      <c r="H54">
        <v>78</v>
      </c>
      <c r="I54">
        <v>3.2</v>
      </c>
      <c r="J54">
        <v>48.7</v>
      </c>
      <c r="K54">
        <v>34</v>
      </c>
      <c r="L54">
        <v>5.8</v>
      </c>
      <c r="M54" t="s">
        <v>27</v>
      </c>
      <c r="N54">
        <v>23.6</v>
      </c>
      <c r="O54" t="s">
        <v>21</v>
      </c>
      <c r="P54">
        <v>18.399999999999999</v>
      </c>
      <c r="Q54" t="s">
        <v>22</v>
      </c>
      <c r="R54">
        <v>11.6</v>
      </c>
      <c r="S54">
        <f>YEAR(Table1[[#This Row],[Visitor Date]])</f>
        <v>2022</v>
      </c>
      <c r="T54" t="str">
        <f>TEXT(Table1[[#This Row],[Visitor Date]],"MMM")</f>
        <v>Mar</v>
      </c>
    </row>
    <row r="55" spans="1:20" x14ac:dyDescent="0.25">
      <c r="A55" t="s">
        <v>26</v>
      </c>
      <c r="B55">
        <v>26</v>
      </c>
      <c r="C55" t="s">
        <v>23</v>
      </c>
      <c r="D55">
        <v>30</v>
      </c>
      <c r="E55" s="1">
        <v>44623</v>
      </c>
      <c r="F55">
        <v>10</v>
      </c>
      <c r="G55">
        <v>7.5</v>
      </c>
      <c r="H55">
        <v>75</v>
      </c>
      <c r="I55">
        <v>3</v>
      </c>
      <c r="J55">
        <v>46.2</v>
      </c>
      <c r="K55">
        <v>27</v>
      </c>
      <c r="L55">
        <v>5.5</v>
      </c>
      <c r="M55" t="s">
        <v>27</v>
      </c>
      <c r="N55">
        <v>22</v>
      </c>
      <c r="O55" t="s">
        <v>21</v>
      </c>
      <c r="P55">
        <v>16.7</v>
      </c>
      <c r="Q55" t="s">
        <v>22</v>
      </c>
      <c r="R55">
        <v>10.8</v>
      </c>
      <c r="S55">
        <f>YEAR(Table1[[#This Row],[Visitor Date]])</f>
        <v>2022</v>
      </c>
      <c r="T55" t="str">
        <f>TEXT(Table1[[#This Row],[Visitor Date]],"MMM")</f>
        <v>Mar</v>
      </c>
    </row>
    <row r="56" spans="1:20" x14ac:dyDescent="0.25">
      <c r="A56" t="s">
        <v>28</v>
      </c>
      <c r="B56">
        <v>68</v>
      </c>
      <c r="C56" t="s">
        <v>19</v>
      </c>
      <c r="D56">
        <v>143</v>
      </c>
      <c r="E56" s="1">
        <v>44624</v>
      </c>
      <c r="F56">
        <v>11</v>
      </c>
      <c r="G56">
        <v>90</v>
      </c>
      <c r="H56">
        <v>54</v>
      </c>
      <c r="I56">
        <v>3.3</v>
      </c>
      <c r="J56">
        <v>67.8</v>
      </c>
      <c r="K56">
        <v>33</v>
      </c>
      <c r="L56">
        <v>11</v>
      </c>
      <c r="M56" t="s">
        <v>20</v>
      </c>
      <c r="N56">
        <v>5.3</v>
      </c>
      <c r="O56" t="s">
        <v>29</v>
      </c>
      <c r="P56">
        <v>20.5</v>
      </c>
      <c r="Q56" t="s">
        <v>25</v>
      </c>
      <c r="R56">
        <v>19.5</v>
      </c>
      <c r="S56">
        <f>YEAR(Table1[[#This Row],[Visitor Date]])</f>
        <v>2022</v>
      </c>
      <c r="T56" t="str">
        <f>TEXT(Table1[[#This Row],[Visitor Date]],"MMM")</f>
        <v>Mar</v>
      </c>
    </row>
    <row r="57" spans="1:20" x14ac:dyDescent="0.25">
      <c r="A57" t="s">
        <v>28</v>
      </c>
      <c r="B57">
        <v>68</v>
      </c>
      <c r="C57" t="s">
        <v>23</v>
      </c>
      <c r="D57">
        <v>35</v>
      </c>
      <c r="E57" s="1">
        <v>44625</v>
      </c>
      <c r="F57">
        <v>9</v>
      </c>
      <c r="G57">
        <v>88</v>
      </c>
      <c r="H57">
        <v>50</v>
      </c>
      <c r="I57">
        <v>3.1</v>
      </c>
      <c r="J57">
        <v>64</v>
      </c>
      <c r="K57">
        <v>29</v>
      </c>
      <c r="L57">
        <v>10.199999999999999</v>
      </c>
      <c r="M57" t="s">
        <v>20</v>
      </c>
      <c r="N57">
        <v>4.8</v>
      </c>
      <c r="O57" t="s">
        <v>29</v>
      </c>
      <c r="P57">
        <v>19.7</v>
      </c>
      <c r="Q57" t="s">
        <v>25</v>
      </c>
      <c r="R57">
        <v>18</v>
      </c>
      <c r="S57">
        <f>YEAR(Table1[[#This Row],[Visitor Date]])</f>
        <v>2022</v>
      </c>
      <c r="T57" t="str">
        <f>TEXT(Table1[[#This Row],[Visitor Date]],"MMM")</f>
        <v>Mar</v>
      </c>
    </row>
    <row r="58" spans="1:20" x14ac:dyDescent="0.25">
      <c r="A58" t="s">
        <v>30</v>
      </c>
      <c r="B58">
        <v>14</v>
      </c>
      <c r="C58" t="s">
        <v>19</v>
      </c>
      <c r="D58">
        <v>10</v>
      </c>
      <c r="E58" s="1">
        <v>44626</v>
      </c>
      <c r="F58">
        <v>14</v>
      </c>
      <c r="G58">
        <v>70.63</v>
      </c>
      <c r="H58">
        <v>41</v>
      </c>
      <c r="I58">
        <v>3.9</v>
      </c>
      <c r="J58">
        <v>59.4</v>
      </c>
      <c r="K58">
        <v>89</v>
      </c>
      <c r="L58">
        <v>15.6</v>
      </c>
      <c r="M58" t="s">
        <v>27</v>
      </c>
      <c r="N58">
        <v>23.7</v>
      </c>
      <c r="O58" t="s">
        <v>31</v>
      </c>
      <c r="P58">
        <v>15.6</v>
      </c>
      <c r="Q58" t="s">
        <v>25</v>
      </c>
      <c r="R58">
        <v>15.1</v>
      </c>
      <c r="S58">
        <f>YEAR(Table1[[#This Row],[Visitor Date]])</f>
        <v>2022</v>
      </c>
      <c r="T58" t="str">
        <f>TEXT(Table1[[#This Row],[Visitor Date]],"MMM")</f>
        <v>Mar</v>
      </c>
    </row>
    <row r="59" spans="1:20" x14ac:dyDescent="0.25">
      <c r="A59" t="s">
        <v>30</v>
      </c>
      <c r="B59">
        <v>14</v>
      </c>
      <c r="C59" t="s">
        <v>23</v>
      </c>
      <c r="D59">
        <v>80</v>
      </c>
      <c r="E59" s="1">
        <v>44627</v>
      </c>
      <c r="F59">
        <v>10</v>
      </c>
      <c r="G59">
        <v>65</v>
      </c>
      <c r="H59">
        <v>25</v>
      </c>
      <c r="I59">
        <v>3.5</v>
      </c>
      <c r="J59">
        <v>55</v>
      </c>
      <c r="K59">
        <v>65</v>
      </c>
      <c r="L59">
        <v>14</v>
      </c>
      <c r="M59" t="s">
        <v>27</v>
      </c>
      <c r="N59">
        <v>21.5</v>
      </c>
      <c r="O59" t="s">
        <v>31</v>
      </c>
      <c r="P59">
        <v>13.9</v>
      </c>
      <c r="Q59" t="s">
        <v>25</v>
      </c>
      <c r="R59">
        <v>14.2</v>
      </c>
      <c r="S59">
        <f>YEAR(Table1[[#This Row],[Visitor Date]])</f>
        <v>2022</v>
      </c>
      <c r="T59" t="str">
        <f>TEXT(Table1[[#This Row],[Visitor Date]],"MMM")</f>
        <v>Mar</v>
      </c>
    </row>
    <row r="60" spans="1:20" x14ac:dyDescent="0.25">
      <c r="A60" t="s">
        <v>32</v>
      </c>
      <c r="B60">
        <v>33</v>
      </c>
      <c r="C60" t="s">
        <v>19</v>
      </c>
      <c r="D60">
        <v>38</v>
      </c>
      <c r="E60" s="1">
        <v>44628</v>
      </c>
      <c r="F60">
        <v>19</v>
      </c>
      <c r="G60">
        <v>65.34</v>
      </c>
      <c r="H60">
        <v>26</v>
      </c>
      <c r="I60">
        <v>4.0999999999999996</v>
      </c>
      <c r="J60">
        <v>52.3</v>
      </c>
      <c r="K60">
        <v>93</v>
      </c>
      <c r="L60">
        <v>16.2</v>
      </c>
      <c r="M60" t="s">
        <v>24</v>
      </c>
      <c r="N60">
        <v>18.899999999999999</v>
      </c>
      <c r="O60" t="s">
        <v>33</v>
      </c>
      <c r="P60">
        <v>13.8</v>
      </c>
      <c r="Q60" t="s">
        <v>34</v>
      </c>
      <c r="R60">
        <v>10.7</v>
      </c>
      <c r="S60">
        <f>YEAR(Table1[[#This Row],[Visitor Date]])</f>
        <v>2022</v>
      </c>
      <c r="T60" t="str">
        <f>TEXT(Table1[[#This Row],[Visitor Date]],"MMM")</f>
        <v>Mar</v>
      </c>
    </row>
    <row r="61" spans="1:20" x14ac:dyDescent="0.25">
      <c r="A61" t="s">
        <v>32</v>
      </c>
      <c r="B61">
        <v>33</v>
      </c>
      <c r="C61" t="s">
        <v>23</v>
      </c>
      <c r="D61">
        <v>125</v>
      </c>
      <c r="E61" s="1">
        <v>44629</v>
      </c>
      <c r="F61">
        <v>15</v>
      </c>
      <c r="G61">
        <v>60.2</v>
      </c>
      <c r="H61">
        <v>27</v>
      </c>
      <c r="I61">
        <v>3.8</v>
      </c>
      <c r="J61">
        <v>50.5</v>
      </c>
      <c r="K61">
        <v>75</v>
      </c>
      <c r="L61">
        <v>15</v>
      </c>
      <c r="M61" t="s">
        <v>24</v>
      </c>
      <c r="N61">
        <v>17.8</v>
      </c>
      <c r="O61" t="s">
        <v>33</v>
      </c>
      <c r="P61">
        <v>12</v>
      </c>
      <c r="Q61" t="s">
        <v>34</v>
      </c>
      <c r="R61">
        <v>9.5</v>
      </c>
      <c r="S61">
        <f>YEAR(Table1[[#This Row],[Visitor Date]])</f>
        <v>2022</v>
      </c>
      <c r="T61" t="str">
        <f>TEXT(Table1[[#This Row],[Visitor Date]],"MMM")</f>
        <v>Mar</v>
      </c>
    </row>
    <row r="62" spans="1:20" x14ac:dyDescent="0.25">
      <c r="A62" t="s">
        <v>18</v>
      </c>
      <c r="B62">
        <v>91</v>
      </c>
      <c r="C62" t="s">
        <v>19</v>
      </c>
      <c r="D62">
        <v>56</v>
      </c>
      <c r="E62" s="1">
        <v>44630</v>
      </c>
      <c r="F62">
        <v>55</v>
      </c>
      <c r="G62">
        <v>54.88</v>
      </c>
      <c r="H62">
        <v>77</v>
      </c>
      <c r="I62">
        <v>4.3</v>
      </c>
      <c r="J62">
        <v>1.5</v>
      </c>
      <c r="K62">
        <v>71</v>
      </c>
      <c r="L62">
        <v>17.100000000000001</v>
      </c>
      <c r="M62" t="s">
        <v>20</v>
      </c>
      <c r="N62">
        <v>6.2</v>
      </c>
      <c r="O62" t="s">
        <v>21</v>
      </c>
      <c r="P62">
        <v>17.399999999999999</v>
      </c>
      <c r="Q62" t="s">
        <v>22</v>
      </c>
      <c r="R62">
        <v>22.2</v>
      </c>
      <c r="S62">
        <f>YEAR(Table1[[#This Row],[Visitor Date]])</f>
        <v>2022</v>
      </c>
      <c r="T62" t="str">
        <f>TEXT(Table1[[#This Row],[Visitor Date]],"MMM")</f>
        <v>Mar</v>
      </c>
    </row>
    <row r="63" spans="1:20" x14ac:dyDescent="0.25">
      <c r="A63" t="s">
        <v>18</v>
      </c>
      <c r="B63">
        <v>91</v>
      </c>
      <c r="C63" t="s">
        <v>23</v>
      </c>
      <c r="D63">
        <v>24</v>
      </c>
      <c r="E63" s="1">
        <v>44631</v>
      </c>
      <c r="F63">
        <v>28</v>
      </c>
      <c r="G63">
        <v>56.3</v>
      </c>
      <c r="H63">
        <v>73</v>
      </c>
      <c r="I63">
        <v>3.5</v>
      </c>
      <c r="J63">
        <v>5</v>
      </c>
      <c r="K63">
        <v>55</v>
      </c>
      <c r="L63">
        <v>16</v>
      </c>
      <c r="M63" t="s">
        <v>20</v>
      </c>
      <c r="N63">
        <v>6</v>
      </c>
      <c r="O63" t="s">
        <v>21</v>
      </c>
      <c r="P63">
        <v>16.8</v>
      </c>
      <c r="Q63" t="s">
        <v>22</v>
      </c>
      <c r="R63">
        <v>21.5</v>
      </c>
      <c r="S63">
        <f>YEAR(Table1[[#This Row],[Visitor Date]])</f>
        <v>2022</v>
      </c>
      <c r="T63" t="str">
        <f>TEXT(Table1[[#This Row],[Visitor Date]],"MMM")</f>
        <v>Mar</v>
      </c>
    </row>
    <row r="64" spans="1:20" x14ac:dyDescent="0.25">
      <c r="A64" t="s">
        <v>24</v>
      </c>
      <c r="B64">
        <v>44</v>
      </c>
      <c r="C64" t="s">
        <v>19</v>
      </c>
      <c r="D64">
        <v>40</v>
      </c>
      <c r="E64" s="1">
        <v>44632</v>
      </c>
      <c r="F64">
        <v>48</v>
      </c>
      <c r="G64">
        <v>91.47</v>
      </c>
      <c r="H64">
        <v>49</v>
      </c>
      <c r="I64">
        <v>3</v>
      </c>
      <c r="J64">
        <v>47.8</v>
      </c>
      <c r="K64">
        <v>33</v>
      </c>
      <c r="L64">
        <v>18</v>
      </c>
      <c r="M64" t="s">
        <v>24</v>
      </c>
      <c r="N64">
        <v>27.5</v>
      </c>
      <c r="O64" t="s">
        <v>21</v>
      </c>
      <c r="P64">
        <v>8.1</v>
      </c>
      <c r="Q64" t="s">
        <v>25</v>
      </c>
      <c r="R64">
        <v>6.9</v>
      </c>
      <c r="S64">
        <f>YEAR(Table1[[#This Row],[Visitor Date]])</f>
        <v>2022</v>
      </c>
      <c r="T64" t="str">
        <f>TEXT(Table1[[#This Row],[Visitor Date]],"MMM")</f>
        <v>Mar</v>
      </c>
    </row>
    <row r="65" spans="1:20" x14ac:dyDescent="0.25">
      <c r="A65" t="s">
        <v>24</v>
      </c>
      <c r="B65">
        <v>44</v>
      </c>
      <c r="C65" t="s">
        <v>23</v>
      </c>
      <c r="D65">
        <v>37</v>
      </c>
      <c r="E65" s="1">
        <v>44633</v>
      </c>
      <c r="F65">
        <v>39</v>
      </c>
      <c r="G65">
        <v>85.3</v>
      </c>
      <c r="H65">
        <v>35</v>
      </c>
      <c r="I65">
        <v>2.8</v>
      </c>
      <c r="J65">
        <v>45</v>
      </c>
      <c r="K65">
        <v>28</v>
      </c>
      <c r="L65">
        <v>17.5</v>
      </c>
      <c r="M65" t="s">
        <v>24</v>
      </c>
      <c r="N65">
        <v>26</v>
      </c>
      <c r="O65" t="s">
        <v>21</v>
      </c>
      <c r="P65">
        <v>7.5</v>
      </c>
      <c r="Q65" t="s">
        <v>25</v>
      </c>
      <c r="R65">
        <v>6.3</v>
      </c>
      <c r="S65">
        <f>YEAR(Table1[[#This Row],[Visitor Date]])</f>
        <v>2022</v>
      </c>
      <c r="T65" t="str">
        <f>TEXT(Table1[[#This Row],[Visitor Date]],"MMM")</f>
        <v>Mar</v>
      </c>
    </row>
    <row r="66" spans="1:20" x14ac:dyDescent="0.25">
      <c r="A66" t="s">
        <v>26</v>
      </c>
      <c r="B66">
        <v>26</v>
      </c>
      <c r="C66" t="s">
        <v>19</v>
      </c>
      <c r="D66">
        <v>133</v>
      </c>
      <c r="E66" s="1">
        <v>44634</v>
      </c>
      <c r="F66">
        <v>10</v>
      </c>
      <c r="G66">
        <v>6.04</v>
      </c>
      <c r="H66">
        <v>78</v>
      </c>
      <c r="I66">
        <v>3.1</v>
      </c>
      <c r="J66">
        <v>48.7</v>
      </c>
      <c r="K66">
        <v>35</v>
      </c>
      <c r="L66">
        <v>5.8</v>
      </c>
      <c r="M66" t="s">
        <v>27</v>
      </c>
      <c r="N66">
        <v>23.6</v>
      </c>
      <c r="O66" t="s">
        <v>21</v>
      </c>
      <c r="P66">
        <v>18.399999999999999</v>
      </c>
      <c r="Q66" t="s">
        <v>22</v>
      </c>
      <c r="R66">
        <v>11.6</v>
      </c>
      <c r="S66">
        <f>YEAR(Table1[[#This Row],[Visitor Date]])</f>
        <v>2022</v>
      </c>
      <c r="T66" t="str">
        <f>TEXT(Table1[[#This Row],[Visitor Date]],"MMM")</f>
        <v>Mar</v>
      </c>
    </row>
    <row r="67" spans="1:20" x14ac:dyDescent="0.25">
      <c r="A67" t="s">
        <v>26</v>
      </c>
      <c r="B67">
        <v>26</v>
      </c>
      <c r="C67" t="s">
        <v>23</v>
      </c>
      <c r="D67">
        <v>39</v>
      </c>
      <c r="E67" s="1">
        <v>44635</v>
      </c>
      <c r="F67">
        <v>15</v>
      </c>
      <c r="G67">
        <v>7.5</v>
      </c>
      <c r="H67">
        <v>75</v>
      </c>
      <c r="I67">
        <v>3.2</v>
      </c>
      <c r="J67">
        <v>46.2</v>
      </c>
      <c r="K67">
        <v>30</v>
      </c>
      <c r="L67">
        <v>5.5</v>
      </c>
      <c r="M67" t="s">
        <v>27</v>
      </c>
      <c r="N67">
        <v>22</v>
      </c>
      <c r="O67" t="s">
        <v>21</v>
      </c>
      <c r="P67">
        <v>16.7</v>
      </c>
      <c r="Q67" t="s">
        <v>22</v>
      </c>
      <c r="R67">
        <v>10.8</v>
      </c>
      <c r="S67">
        <f>YEAR(Table1[[#This Row],[Visitor Date]])</f>
        <v>2022</v>
      </c>
      <c r="T67" t="str">
        <f>TEXT(Table1[[#This Row],[Visitor Date]],"MMM")</f>
        <v>Mar</v>
      </c>
    </row>
    <row r="68" spans="1:20" x14ac:dyDescent="0.25">
      <c r="A68" t="s">
        <v>28</v>
      </c>
      <c r="B68">
        <v>68</v>
      </c>
      <c r="C68" t="s">
        <v>19</v>
      </c>
      <c r="D68">
        <v>60</v>
      </c>
      <c r="E68" s="1">
        <v>44636</v>
      </c>
      <c r="F68">
        <v>16</v>
      </c>
      <c r="G68">
        <v>90</v>
      </c>
      <c r="H68">
        <v>54</v>
      </c>
      <c r="I68">
        <v>3.5</v>
      </c>
      <c r="J68">
        <v>67.8</v>
      </c>
      <c r="K68">
        <v>34</v>
      </c>
      <c r="L68">
        <v>11</v>
      </c>
      <c r="M68" t="s">
        <v>20</v>
      </c>
      <c r="N68">
        <v>5.3</v>
      </c>
      <c r="O68" t="s">
        <v>29</v>
      </c>
      <c r="P68">
        <v>20.5</v>
      </c>
      <c r="Q68" t="s">
        <v>25</v>
      </c>
      <c r="R68">
        <v>19.5</v>
      </c>
      <c r="S68">
        <f>YEAR(Table1[[#This Row],[Visitor Date]])</f>
        <v>2022</v>
      </c>
      <c r="T68" t="str">
        <f>TEXT(Table1[[#This Row],[Visitor Date]],"MMM")</f>
        <v>Mar</v>
      </c>
    </row>
    <row r="69" spans="1:20" x14ac:dyDescent="0.25">
      <c r="A69" t="s">
        <v>28</v>
      </c>
      <c r="B69">
        <v>68</v>
      </c>
      <c r="C69" t="s">
        <v>23</v>
      </c>
      <c r="D69">
        <v>333</v>
      </c>
      <c r="E69" s="1">
        <v>44637</v>
      </c>
      <c r="F69">
        <v>12</v>
      </c>
      <c r="G69">
        <v>88</v>
      </c>
      <c r="H69">
        <v>50</v>
      </c>
      <c r="I69">
        <v>3.2</v>
      </c>
      <c r="J69">
        <v>64</v>
      </c>
      <c r="K69">
        <v>29</v>
      </c>
      <c r="L69">
        <v>10.199999999999999</v>
      </c>
      <c r="M69" t="s">
        <v>20</v>
      </c>
      <c r="N69">
        <v>4.8</v>
      </c>
      <c r="O69" t="s">
        <v>29</v>
      </c>
      <c r="P69">
        <v>19.7</v>
      </c>
      <c r="Q69" t="s">
        <v>25</v>
      </c>
      <c r="R69">
        <v>18</v>
      </c>
      <c r="S69">
        <f>YEAR(Table1[[#This Row],[Visitor Date]])</f>
        <v>2022</v>
      </c>
      <c r="T69" t="str">
        <f>TEXT(Table1[[#This Row],[Visitor Date]],"MMM")</f>
        <v>Mar</v>
      </c>
    </row>
    <row r="70" spans="1:20" x14ac:dyDescent="0.25">
      <c r="A70" t="s">
        <v>30</v>
      </c>
      <c r="B70">
        <v>14</v>
      </c>
      <c r="C70" t="s">
        <v>19</v>
      </c>
      <c r="D70">
        <v>6</v>
      </c>
      <c r="E70" s="1">
        <v>44638</v>
      </c>
      <c r="F70">
        <v>18</v>
      </c>
      <c r="G70">
        <v>70.63</v>
      </c>
      <c r="H70">
        <v>41</v>
      </c>
      <c r="I70">
        <v>4.0999999999999996</v>
      </c>
      <c r="J70">
        <v>59.4</v>
      </c>
      <c r="K70">
        <v>95</v>
      </c>
      <c r="L70">
        <v>15.6</v>
      </c>
      <c r="M70" t="s">
        <v>27</v>
      </c>
      <c r="N70">
        <v>23.7</v>
      </c>
      <c r="O70" t="s">
        <v>31</v>
      </c>
      <c r="P70">
        <v>15.6</v>
      </c>
      <c r="Q70" t="s">
        <v>25</v>
      </c>
      <c r="R70">
        <v>15.1</v>
      </c>
      <c r="S70">
        <f>YEAR(Table1[[#This Row],[Visitor Date]])</f>
        <v>2022</v>
      </c>
      <c r="T70" t="str">
        <f>TEXT(Table1[[#This Row],[Visitor Date]],"MMM")</f>
        <v>Mar</v>
      </c>
    </row>
    <row r="71" spans="1:20" x14ac:dyDescent="0.25">
      <c r="A71" t="s">
        <v>30</v>
      </c>
      <c r="B71">
        <v>14</v>
      </c>
      <c r="C71" t="s">
        <v>23</v>
      </c>
      <c r="D71">
        <v>13</v>
      </c>
      <c r="E71" s="1">
        <v>44639</v>
      </c>
      <c r="F71">
        <v>9</v>
      </c>
      <c r="G71">
        <v>65</v>
      </c>
      <c r="H71">
        <v>25</v>
      </c>
      <c r="I71">
        <v>3.4</v>
      </c>
      <c r="J71">
        <v>55</v>
      </c>
      <c r="K71">
        <v>64</v>
      </c>
      <c r="L71">
        <v>14</v>
      </c>
      <c r="M71" t="s">
        <v>27</v>
      </c>
      <c r="N71">
        <v>21.5</v>
      </c>
      <c r="O71" t="s">
        <v>31</v>
      </c>
      <c r="P71">
        <v>13.9</v>
      </c>
      <c r="Q71" t="s">
        <v>25</v>
      </c>
      <c r="R71">
        <v>14.2</v>
      </c>
      <c r="S71">
        <f>YEAR(Table1[[#This Row],[Visitor Date]])</f>
        <v>2022</v>
      </c>
      <c r="T71" t="str">
        <f>TEXT(Table1[[#This Row],[Visitor Date]],"MMM")</f>
        <v>Mar</v>
      </c>
    </row>
    <row r="72" spans="1:20" x14ac:dyDescent="0.25">
      <c r="A72" t="s">
        <v>32</v>
      </c>
      <c r="B72">
        <v>33</v>
      </c>
      <c r="C72" t="s">
        <v>19</v>
      </c>
      <c r="D72">
        <v>32</v>
      </c>
      <c r="E72" s="1">
        <v>44640</v>
      </c>
      <c r="F72">
        <v>19</v>
      </c>
      <c r="G72">
        <v>65.34</v>
      </c>
      <c r="H72">
        <v>26</v>
      </c>
      <c r="I72">
        <v>4.2</v>
      </c>
      <c r="J72">
        <v>2</v>
      </c>
      <c r="K72">
        <v>94</v>
      </c>
      <c r="L72">
        <v>16.2</v>
      </c>
      <c r="M72" t="s">
        <v>24</v>
      </c>
      <c r="N72">
        <v>18.899999999999999</v>
      </c>
      <c r="O72" t="s">
        <v>33</v>
      </c>
      <c r="P72">
        <v>13.8</v>
      </c>
      <c r="Q72" t="s">
        <v>34</v>
      </c>
      <c r="R72">
        <v>10.7</v>
      </c>
      <c r="S72">
        <f>YEAR(Table1[[#This Row],[Visitor Date]])</f>
        <v>2022</v>
      </c>
      <c r="T72" t="str">
        <f>TEXT(Table1[[#This Row],[Visitor Date]],"MMM")</f>
        <v>Mar</v>
      </c>
    </row>
    <row r="73" spans="1:20" x14ac:dyDescent="0.25">
      <c r="A73" t="s">
        <v>32</v>
      </c>
      <c r="B73">
        <v>33</v>
      </c>
      <c r="C73" t="s">
        <v>23</v>
      </c>
      <c r="D73">
        <v>29</v>
      </c>
      <c r="E73" s="1">
        <v>44641</v>
      </c>
      <c r="F73">
        <v>14</v>
      </c>
      <c r="G73">
        <v>60.2</v>
      </c>
      <c r="H73">
        <v>27</v>
      </c>
      <c r="I73">
        <v>3.9</v>
      </c>
      <c r="J73">
        <v>50.5</v>
      </c>
      <c r="K73">
        <v>75</v>
      </c>
      <c r="L73">
        <v>15</v>
      </c>
      <c r="M73" t="s">
        <v>24</v>
      </c>
      <c r="N73">
        <v>17.8</v>
      </c>
      <c r="O73" t="s">
        <v>33</v>
      </c>
      <c r="P73">
        <v>12</v>
      </c>
      <c r="Q73" t="s">
        <v>34</v>
      </c>
      <c r="R73">
        <v>9.5</v>
      </c>
      <c r="S73">
        <f>YEAR(Table1[[#This Row],[Visitor Date]])</f>
        <v>2022</v>
      </c>
      <c r="T73" t="str">
        <f>TEXT(Table1[[#This Row],[Visitor Date]],"MMM")</f>
        <v>Mar</v>
      </c>
    </row>
    <row r="74" spans="1:20" x14ac:dyDescent="0.25">
      <c r="A74" t="s">
        <v>18</v>
      </c>
      <c r="B74">
        <v>91</v>
      </c>
      <c r="C74" t="s">
        <v>19</v>
      </c>
      <c r="D74">
        <v>156</v>
      </c>
      <c r="E74" s="1">
        <v>44642</v>
      </c>
      <c r="F74">
        <v>55</v>
      </c>
      <c r="G74">
        <v>54.88</v>
      </c>
      <c r="H74">
        <v>77</v>
      </c>
      <c r="I74">
        <v>4.3</v>
      </c>
      <c r="J74">
        <v>61.5</v>
      </c>
      <c r="K74">
        <v>71</v>
      </c>
      <c r="L74">
        <v>17.100000000000001</v>
      </c>
      <c r="M74" t="s">
        <v>20</v>
      </c>
      <c r="N74">
        <v>6.2</v>
      </c>
      <c r="O74" t="s">
        <v>21</v>
      </c>
      <c r="P74">
        <v>17.399999999999999</v>
      </c>
      <c r="Q74" t="s">
        <v>22</v>
      </c>
      <c r="R74">
        <v>22.2</v>
      </c>
      <c r="S74">
        <f>YEAR(Table1[[#This Row],[Visitor Date]])</f>
        <v>2022</v>
      </c>
      <c r="T74" t="str">
        <f>TEXT(Table1[[#This Row],[Visitor Date]],"MMM")</f>
        <v>Mar</v>
      </c>
    </row>
    <row r="75" spans="1:20" x14ac:dyDescent="0.25">
      <c r="A75" t="s">
        <v>18</v>
      </c>
      <c r="B75">
        <v>91</v>
      </c>
      <c r="C75" t="s">
        <v>23</v>
      </c>
      <c r="D75">
        <v>24</v>
      </c>
      <c r="E75" s="1">
        <v>44643</v>
      </c>
      <c r="F75">
        <v>28</v>
      </c>
      <c r="G75">
        <v>56.3</v>
      </c>
      <c r="H75">
        <v>73</v>
      </c>
      <c r="I75">
        <v>3.5</v>
      </c>
      <c r="J75">
        <v>59.2</v>
      </c>
      <c r="K75">
        <v>55</v>
      </c>
      <c r="L75">
        <v>16</v>
      </c>
      <c r="M75" t="s">
        <v>20</v>
      </c>
      <c r="N75">
        <v>6</v>
      </c>
      <c r="O75" t="s">
        <v>21</v>
      </c>
      <c r="P75">
        <v>16.8</v>
      </c>
      <c r="Q75" t="s">
        <v>22</v>
      </c>
      <c r="R75">
        <v>21.5</v>
      </c>
      <c r="S75">
        <f>YEAR(Table1[[#This Row],[Visitor Date]])</f>
        <v>2022</v>
      </c>
      <c r="T75" t="str">
        <f>TEXT(Table1[[#This Row],[Visitor Date]],"MMM")</f>
        <v>Mar</v>
      </c>
    </row>
    <row r="76" spans="1:20" x14ac:dyDescent="0.25">
      <c r="A76" t="s">
        <v>24</v>
      </c>
      <c r="B76">
        <v>44</v>
      </c>
      <c r="C76" t="s">
        <v>19</v>
      </c>
      <c r="D76">
        <v>40</v>
      </c>
      <c r="E76" s="1">
        <v>44644</v>
      </c>
      <c r="F76">
        <v>48</v>
      </c>
      <c r="G76">
        <v>91.47</v>
      </c>
      <c r="H76">
        <v>49</v>
      </c>
      <c r="I76">
        <v>3</v>
      </c>
      <c r="J76">
        <v>47.8</v>
      </c>
      <c r="K76">
        <v>33</v>
      </c>
      <c r="L76">
        <v>18</v>
      </c>
      <c r="M76" t="s">
        <v>24</v>
      </c>
      <c r="N76">
        <v>27.5</v>
      </c>
      <c r="O76" t="s">
        <v>21</v>
      </c>
      <c r="P76">
        <v>8.1</v>
      </c>
      <c r="Q76" t="s">
        <v>25</v>
      </c>
      <c r="R76">
        <v>6.9</v>
      </c>
      <c r="S76">
        <f>YEAR(Table1[[#This Row],[Visitor Date]])</f>
        <v>2022</v>
      </c>
      <c r="T76" t="str">
        <f>TEXT(Table1[[#This Row],[Visitor Date]],"MMM")</f>
        <v>Mar</v>
      </c>
    </row>
    <row r="77" spans="1:20" x14ac:dyDescent="0.25">
      <c r="A77" t="s">
        <v>24</v>
      </c>
      <c r="B77">
        <v>44</v>
      </c>
      <c r="C77" t="s">
        <v>23</v>
      </c>
      <c r="D77">
        <v>37</v>
      </c>
      <c r="E77" s="1">
        <v>44645</v>
      </c>
      <c r="F77">
        <v>39</v>
      </c>
      <c r="G77">
        <v>85.3</v>
      </c>
      <c r="H77">
        <v>35</v>
      </c>
      <c r="I77">
        <v>2.8</v>
      </c>
      <c r="J77">
        <v>45</v>
      </c>
      <c r="K77">
        <v>28</v>
      </c>
      <c r="L77">
        <v>17.5</v>
      </c>
      <c r="M77" t="s">
        <v>24</v>
      </c>
      <c r="N77">
        <v>26</v>
      </c>
      <c r="O77" t="s">
        <v>21</v>
      </c>
      <c r="P77">
        <v>7.5</v>
      </c>
      <c r="Q77" t="s">
        <v>25</v>
      </c>
      <c r="R77">
        <v>6.3</v>
      </c>
      <c r="S77">
        <f>YEAR(Table1[[#This Row],[Visitor Date]])</f>
        <v>2022</v>
      </c>
      <c r="T77" t="str">
        <f>TEXT(Table1[[#This Row],[Visitor Date]],"MMM")</f>
        <v>Mar</v>
      </c>
    </row>
    <row r="78" spans="1:20" x14ac:dyDescent="0.25">
      <c r="A78" t="s">
        <v>26</v>
      </c>
      <c r="B78">
        <v>26</v>
      </c>
      <c r="C78" t="s">
        <v>19</v>
      </c>
      <c r="D78">
        <v>33</v>
      </c>
      <c r="E78" s="1">
        <v>44646</v>
      </c>
      <c r="F78">
        <v>10</v>
      </c>
      <c r="G78">
        <v>6.04</v>
      </c>
      <c r="H78">
        <v>78</v>
      </c>
      <c r="I78">
        <v>3.1</v>
      </c>
      <c r="J78">
        <v>48.7</v>
      </c>
      <c r="K78">
        <v>35</v>
      </c>
      <c r="L78">
        <v>5.8</v>
      </c>
      <c r="M78" t="s">
        <v>27</v>
      </c>
      <c r="N78">
        <v>23.6</v>
      </c>
      <c r="O78" t="s">
        <v>21</v>
      </c>
      <c r="P78">
        <v>18.399999999999999</v>
      </c>
      <c r="Q78" t="s">
        <v>22</v>
      </c>
      <c r="R78">
        <v>11.6</v>
      </c>
      <c r="S78">
        <f>YEAR(Table1[[#This Row],[Visitor Date]])</f>
        <v>2022</v>
      </c>
      <c r="T78" t="str">
        <f>TEXT(Table1[[#This Row],[Visitor Date]],"MMM")</f>
        <v>Mar</v>
      </c>
    </row>
    <row r="79" spans="1:20" x14ac:dyDescent="0.25">
      <c r="A79" t="s">
        <v>26</v>
      </c>
      <c r="B79">
        <v>26</v>
      </c>
      <c r="C79" t="s">
        <v>23</v>
      </c>
      <c r="D79">
        <v>139</v>
      </c>
      <c r="E79" s="1">
        <v>44647</v>
      </c>
      <c r="F79">
        <v>15</v>
      </c>
      <c r="G79">
        <v>7.5</v>
      </c>
      <c r="H79">
        <v>75</v>
      </c>
      <c r="I79">
        <v>3.2</v>
      </c>
      <c r="J79">
        <v>46.2</v>
      </c>
      <c r="K79">
        <v>30</v>
      </c>
      <c r="L79">
        <v>5.5</v>
      </c>
      <c r="M79" t="s">
        <v>27</v>
      </c>
      <c r="N79">
        <v>22</v>
      </c>
      <c r="O79" t="s">
        <v>21</v>
      </c>
      <c r="P79">
        <v>16.7</v>
      </c>
      <c r="Q79" t="s">
        <v>22</v>
      </c>
      <c r="R79">
        <v>10.8</v>
      </c>
      <c r="S79">
        <f>YEAR(Table1[[#This Row],[Visitor Date]])</f>
        <v>2022</v>
      </c>
      <c r="T79" t="str">
        <f>TEXT(Table1[[#This Row],[Visitor Date]],"MMM")</f>
        <v>Mar</v>
      </c>
    </row>
    <row r="80" spans="1:20" x14ac:dyDescent="0.25">
      <c r="A80" t="s">
        <v>28</v>
      </c>
      <c r="B80">
        <v>68</v>
      </c>
      <c r="C80" t="s">
        <v>19</v>
      </c>
      <c r="D80">
        <v>160</v>
      </c>
      <c r="E80" s="1">
        <v>44648</v>
      </c>
      <c r="F80">
        <v>16</v>
      </c>
      <c r="G80">
        <v>90</v>
      </c>
      <c r="H80">
        <v>54</v>
      </c>
      <c r="I80">
        <v>3.5</v>
      </c>
      <c r="J80">
        <v>67.8</v>
      </c>
      <c r="K80">
        <v>34</v>
      </c>
      <c r="L80">
        <v>11</v>
      </c>
      <c r="M80" t="s">
        <v>20</v>
      </c>
      <c r="N80">
        <v>5.3</v>
      </c>
      <c r="O80" t="s">
        <v>29</v>
      </c>
      <c r="P80">
        <v>20.5</v>
      </c>
      <c r="Q80" t="s">
        <v>25</v>
      </c>
      <c r="R80">
        <v>19.5</v>
      </c>
      <c r="S80">
        <f>YEAR(Table1[[#This Row],[Visitor Date]])</f>
        <v>2022</v>
      </c>
      <c r="T80" t="str">
        <f>TEXT(Table1[[#This Row],[Visitor Date]],"MMM")</f>
        <v>Mar</v>
      </c>
    </row>
    <row r="81" spans="1:20" x14ac:dyDescent="0.25">
      <c r="A81" t="s">
        <v>28</v>
      </c>
      <c r="B81">
        <v>68</v>
      </c>
      <c r="C81" t="s">
        <v>23</v>
      </c>
      <c r="D81">
        <v>3</v>
      </c>
      <c r="E81" s="1">
        <v>44649</v>
      </c>
      <c r="F81">
        <v>12</v>
      </c>
      <c r="G81">
        <v>88</v>
      </c>
      <c r="H81">
        <v>50</v>
      </c>
      <c r="I81">
        <v>3.2</v>
      </c>
      <c r="J81">
        <v>4</v>
      </c>
      <c r="K81">
        <v>29</v>
      </c>
      <c r="L81">
        <v>10.199999999999999</v>
      </c>
      <c r="M81" t="s">
        <v>20</v>
      </c>
      <c r="N81">
        <v>4.8</v>
      </c>
      <c r="O81" t="s">
        <v>29</v>
      </c>
      <c r="P81">
        <v>19.7</v>
      </c>
      <c r="Q81" t="s">
        <v>25</v>
      </c>
      <c r="R81">
        <v>18</v>
      </c>
      <c r="S81">
        <f>YEAR(Table1[[#This Row],[Visitor Date]])</f>
        <v>2022</v>
      </c>
      <c r="T81" t="str">
        <f>TEXT(Table1[[#This Row],[Visitor Date]],"MMM")</f>
        <v>Mar</v>
      </c>
    </row>
    <row r="82" spans="1:20" x14ac:dyDescent="0.25">
      <c r="A82" t="s">
        <v>30</v>
      </c>
      <c r="B82">
        <v>14</v>
      </c>
      <c r="C82" t="s">
        <v>19</v>
      </c>
      <c r="D82">
        <v>6</v>
      </c>
      <c r="E82" s="1">
        <v>44650</v>
      </c>
      <c r="F82">
        <v>18</v>
      </c>
      <c r="G82">
        <v>70.63</v>
      </c>
      <c r="H82">
        <v>41</v>
      </c>
      <c r="I82">
        <v>4.0999999999999996</v>
      </c>
      <c r="J82">
        <v>59.4</v>
      </c>
      <c r="K82">
        <v>95</v>
      </c>
      <c r="L82">
        <v>15.6</v>
      </c>
      <c r="M82" t="s">
        <v>27</v>
      </c>
      <c r="N82">
        <v>23.7</v>
      </c>
      <c r="O82" t="s">
        <v>31</v>
      </c>
      <c r="P82">
        <v>15.6</v>
      </c>
      <c r="Q82" t="s">
        <v>25</v>
      </c>
      <c r="R82">
        <v>15.1</v>
      </c>
      <c r="S82">
        <f>YEAR(Table1[[#This Row],[Visitor Date]])</f>
        <v>2022</v>
      </c>
      <c r="T82" t="str">
        <f>TEXT(Table1[[#This Row],[Visitor Date]],"MMM")</f>
        <v>Mar</v>
      </c>
    </row>
    <row r="83" spans="1:20" x14ac:dyDescent="0.25">
      <c r="A83" t="s">
        <v>30</v>
      </c>
      <c r="B83">
        <v>14</v>
      </c>
      <c r="C83" t="s">
        <v>23</v>
      </c>
      <c r="D83">
        <v>3</v>
      </c>
      <c r="E83" s="1">
        <v>44651</v>
      </c>
      <c r="F83">
        <v>9</v>
      </c>
      <c r="G83">
        <v>65</v>
      </c>
      <c r="H83">
        <v>25</v>
      </c>
      <c r="I83">
        <v>3.4</v>
      </c>
      <c r="J83">
        <v>55</v>
      </c>
      <c r="K83">
        <v>64</v>
      </c>
      <c r="L83">
        <v>14</v>
      </c>
      <c r="M83" t="s">
        <v>27</v>
      </c>
      <c r="N83">
        <v>21.5</v>
      </c>
      <c r="O83" t="s">
        <v>31</v>
      </c>
      <c r="P83">
        <v>13.9</v>
      </c>
      <c r="Q83" t="s">
        <v>25</v>
      </c>
      <c r="R83">
        <v>14.2</v>
      </c>
      <c r="S83">
        <f>YEAR(Table1[[#This Row],[Visitor Date]])</f>
        <v>2022</v>
      </c>
      <c r="T83" t="str">
        <f>TEXT(Table1[[#This Row],[Visitor Date]],"MMM")</f>
        <v>Mar</v>
      </c>
    </row>
    <row r="84" spans="1:20" x14ac:dyDescent="0.25">
      <c r="A84" t="s">
        <v>32</v>
      </c>
      <c r="B84">
        <v>33</v>
      </c>
      <c r="C84" t="s">
        <v>19</v>
      </c>
      <c r="D84">
        <v>32</v>
      </c>
      <c r="E84" s="1">
        <v>44652</v>
      </c>
      <c r="F84">
        <v>19</v>
      </c>
      <c r="G84">
        <v>65.34</v>
      </c>
      <c r="H84">
        <v>26</v>
      </c>
      <c r="I84">
        <v>4.2</v>
      </c>
      <c r="J84">
        <v>52.3</v>
      </c>
      <c r="K84">
        <v>94</v>
      </c>
      <c r="L84">
        <v>16.2</v>
      </c>
      <c r="M84" t="s">
        <v>24</v>
      </c>
      <c r="N84">
        <v>18.899999999999999</v>
      </c>
      <c r="O84" t="s">
        <v>33</v>
      </c>
      <c r="P84">
        <v>13.8</v>
      </c>
      <c r="Q84" t="s">
        <v>34</v>
      </c>
      <c r="R84">
        <v>10.7</v>
      </c>
      <c r="S84">
        <f>YEAR(Table1[[#This Row],[Visitor Date]])</f>
        <v>2022</v>
      </c>
      <c r="T84" t="str">
        <f>TEXT(Table1[[#This Row],[Visitor Date]],"MMM")</f>
        <v>Apr</v>
      </c>
    </row>
    <row r="85" spans="1:20" x14ac:dyDescent="0.25">
      <c r="A85" t="s">
        <v>32</v>
      </c>
      <c r="B85">
        <v>33</v>
      </c>
      <c r="C85" t="s">
        <v>23</v>
      </c>
      <c r="D85">
        <v>129</v>
      </c>
      <c r="E85" s="1">
        <v>44653</v>
      </c>
      <c r="F85">
        <v>14</v>
      </c>
      <c r="G85">
        <v>60.2</v>
      </c>
      <c r="H85">
        <v>27</v>
      </c>
      <c r="I85">
        <v>3.9</v>
      </c>
      <c r="J85">
        <v>50.5</v>
      </c>
      <c r="K85">
        <v>75</v>
      </c>
      <c r="L85">
        <v>15</v>
      </c>
      <c r="M85" t="s">
        <v>24</v>
      </c>
      <c r="N85">
        <v>17.8</v>
      </c>
      <c r="O85" t="s">
        <v>33</v>
      </c>
      <c r="P85">
        <v>12</v>
      </c>
      <c r="Q85" t="s">
        <v>34</v>
      </c>
      <c r="R85">
        <v>9.5</v>
      </c>
      <c r="S85">
        <f>YEAR(Table1[[#This Row],[Visitor Date]])</f>
        <v>2022</v>
      </c>
      <c r="T85" t="str">
        <f>TEXT(Table1[[#This Row],[Visitor Date]],"MMM")</f>
        <v>Apr</v>
      </c>
    </row>
    <row r="86" spans="1:20" x14ac:dyDescent="0.25">
      <c r="A86" t="s">
        <v>18</v>
      </c>
      <c r="B86">
        <v>91</v>
      </c>
      <c r="C86" t="s">
        <v>19</v>
      </c>
      <c r="D86">
        <v>58</v>
      </c>
      <c r="E86" s="1">
        <v>44654</v>
      </c>
      <c r="F86">
        <v>54</v>
      </c>
      <c r="G86">
        <v>55.5</v>
      </c>
      <c r="H86">
        <v>77</v>
      </c>
      <c r="I86">
        <v>4.0999999999999996</v>
      </c>
      <c r="J86">
        <v>60</v>
      </c>
      <c r="K86">
        <v>72</v>
      </c>
      <c r="L86">
        <v>17.3</v>
      </c>
      <c r="M86" t="s">
        <v>20</v>
      </c>
      <c r="N86">
        <v>6.5</v>
      </c>
      <c r="O86" t="s">
        <v>21</v>
      </c>
      <c r="P86">
        <v>18.2</v>
      </c>
      <c r="Q86" t="s">
        <v>22</v>
      </c>
      <c r="R86">
        <v>23</v>
      </c>
      <c r="S86">
        <f>YEAR(Table1[[#This Row],[Visitor Date]])</f>
        <v>2022</v>
      </c>
      <c r="T86" t="str">
        <f>TEXT(Table1[[#This Row],[Visitor Date]],"MMM")</f>
        <v>Apr</v>
      </c>
    </row>
    <row r="87" spans="1:20" x14ac:dyDescent="0.25">
      <c r="A87" t="s">
        <v>18</v>
      </c>
      <c r="B87">
        <v>91</v>
      </c>
      <c r="C87" t="s">
        <v>23</v>
      </c>
      <c r="D87">
        <v>22</v>
      </c>
      <c r="E87" s="1">
        <v>44655</v>
      </c>
      <c r="F87">
        <v>26</v>
      </c>
      <c r="G87">
        <v>58</v>
      </c>
      <c r="H87">
        <v>70</v>
      </c>
      <c r="I87">
        <v>3.8</v>
      </c>
      <c r="J87">
        <v>58</v>
      </c>
      <c r="K87">
        <v>54</v>
      </c>
      <c r="L87">
        <v>15.5</v>
      </c>
      <c r="M87" t="s">
        <v>20</v>
      </c>
      <c r="N87">
        <v>5.8</v>
      </c>
      <c r="O87" t="s">
        <v>21</v>
      </c>
      <c r="P87">
        <v>15</v>
      </c>
      <c r="Q87" t="s">
        <v>22</v>
      </c>
      <c r="R87">
        <v>20</v>
      </c>
      <c r="S87">
        <f>YEAR(Table1[[#This Row],[Visitor Date]])</f>
        <v>2022</v>
      </c>
      <c r="T87" t="str">
        <f>TEXT(Table1[[#This Row],[Visitor Date]],"MMM")</f>
        <v>Apr</v>
      </c>
    </row>
    <row r="88" spans="1:20" x14ac:dyDescent="0.25">
      <c r="A88" t="s">
        <v>24</v>
      </c>
      <c r="B88">
        <v>44</v>
      </c>
      <c r="C88" t="s">
        <v>19</v>
      </c>
      <c r="D88">
        <v>45</v>
      </c>
      <c r="E88" s="1">
        <v>44656</v>
      </c>
      <c r="F88">
        <v>49</v>
      </c>
      <c r="G88">
        <v>90</v>
      </c>
      <c r="H88">
        <v>45</v>
      </c>
      <c r="I88">
        <v>3.1</v>
      </c>
      <c r="J88">
        <v>48.5</v>
      </c>
      <c r="K88">
        <v>33</v>
      </c>
      <c r="L88">
        <v>18.5</v>
      </c>
      <c r="M88" t="s">
        <v>24</v>
      </c>
      <c r="N88">
        <v>25</v>
      </c>
      <c r="O88" t="s">
        <v>21</v>
      </c>
      <c r="P88">
        <v>9</v>
      </c>
      <c r="Q88" t="s">
        <v>25</v>
      </c>
      <c r="R88">
        <v>7.5</v>
      </c>
      <c r="S88">
        <f>YEAR(Table1[[#This Row],[Visitor Date]])</f>
        <v>2022</v>
      </c>
      <c r="T88" t="str">
        <f>TEXT(Table1[[#This Row],[Visitor Date]],"MMM")</f>
        <v>Apr</v>
      </c>
    </row>
    <row r="89" spans="1:20" x14ac:dyDescent="0.25">
      <c r="A89" t="s">
        <v>24</v>
      </c>
      <c r="B89">
        <v>44</v>
      </c>
      <c r="C89" t="s">
        <v>23</v>
      </c>
      <c r="D89">
        <v>134</v>
      </c>
      <c r="E89" s="1">
        <v>44657</v>
      </c>
      <c r="F89">
        <v>37</v>
      </c>
      <c r="G89">
        <v>87</v>
      </c>
      <c r="H89">
        <v>40</v>
      </c>
      <c r="I89">
        <v>2.9</v>
      </c>
      <c r="J89">
        <v>46</v>
      </c>
      <c r="K89">
        <v>27</v>
      </c>
      <c r="L89">
        <v>16.5</v>
      </c>
      <c r="M89" t="s">
        <v>24</v>
      </c>
      <c r="N89">
        <v>24</v>
      </c>
      <c r="O89" t="s">
        <v>21</v>
      </c>
      <c r="P89">
        <v>8</v>
      </c>
      <c r="Q89" t="s">
        <v>25</v>
      </c>
      <c r="R89">
        <v>6.5</v>
      </c>
      <c r="S89">
        <f>YEAR(Table1[[#This Row],[Visitor Date]])</f>
        <v>2022</v>
      </c>
      <c r="T89" t="str">
        <f>TEXT(Table1[[#This Row],[Visitor Date]],"MMM")</f>
        <v>Apr</v>
      </c>
    </row>
    <row r="90" spans="1:20" x14ac:dyDescent="0.25">
      <c r="A90" t="s">
        <v>26</v>
      </c>
      <c r="B90">
        <v>26</v>
      </c>
      <c r="C90" t="s">
        <v>19</v>
      </c>
      <c r="D90">
        <v>37</v>
      </c>
      <c r="E90" s="1">
        <v>44658</v>
      </c>
      <c r="F90">
        <v>8</v>
      </c>
      <c r="G90">
        <v>5</v>
      </c>
      <c r="H90">
        <v>76</v>
      </c>
      <c r="I90">
        <v>3</v>
      </c>
      <c r="J90">
        <v>47</v>
      </c>
      <c r="K90">
        <v>37</v>
      </c>
      <c r="L90">
        <v>6</v>
      </c>
      <c r="M90" t="s">
        <v>27</v>
      </c>
      <c r="N90">
        <v>20</v>
      </c>
      <c r="O90" t="s">
        <v>21</v>
      </c>
      <c r="P90">
        <v>16</v>
      </c>
      <c r="Q90" t="s">
        <v>22</v>
      </c>
      <c r="R90">
        <v>12</v>
      </c>
      <c r="S90">
        <f>YEAR(Table1[[#This Row],[Visitor Date]])</f>
        <v>2022</v>
      </c>
      <c r="T90" t="str">
        <f>TEXT(Table1[[#This Row],[Visitor Date]],"MMM")</f>
        <v>Apr</v>
      </c>
    </row>
    <row r="91" spans="1:20" x14ac:dyDescent="0.25">
      <c r="A91" t="s">
        <v>26</v>
      </c>
      <c r="B91">
        <v>26</v>
      </c>
      <c r="C91" t="s">
        <v>23</v>
      </c>
      <c r="D91">
        <v>29</v>
      </c>
      <c r="E91" s="1">
        <v>44659</v>
      </c>
      <c r="F91">
        <v>10</v>
      </c>
      <c r="G91">
        <v>7</v>
      </c>
      <c r="H91">
        <v>74</v>
      </c>
      <c r="I91">
        <v>3.2</v>
      </c>
      <c r="J91">
        <v>44</v>
      </c>
      <c r="K91">
        <v>31</v>
      </c>
      <c r="L91">
        <v>5.5</v>
      </c>
      <c r="M91" t="s">
        <v>27</v>
      </c>
      <c r="N91">
        <v>19</v>
      </c>
      <c r="O91" t="s">
        <v>21</v>
      </c>
      <c r="P91">
        <v>15</v>
      </c>
      <c r="Q91" t="s">
        <v>22</v>
      </c>
      <c r="R91">
        <v>11.5</v>
      </c>
      <c r="S91">
        <f>YEAR(Table1[[#This Row],[Visitor Date]])</f>
        <v>2022</v>
      </c>
      <c r="T91" t="str">
        <f>TEXT(Table1[[#This Row],[Visitor Date]],"MMM")</f>
        <v>Apr</v>
      </c>
    </row>
    <row r="92" spans="1:20" x14ac:dyDescent="0.25">
      <c r="A92" t="s">
        <v>28</v>
      </c>
      <c r="B92">
        <v>68</v>
      </c>
      <c r="C92" t="s">
        <v>19</v>
      </c>
      <c r="D92">
        <v>61</v>
      </c>
      <c r="E92" s="1">
        <v>44660</v>
      </c>
      <c r="F92">
        <v>14</v>
      </c>
      <c r="G92">
        <v>91.5</v>
      </c>
      <c r="H92">
        <v>55</v>
      </c>
      <c r="I92">
        <v>3.6</v>
      </c>
      <c r="J92">
        <v>68</v>
      </c>
      <c r="K92">
        <v>35</v>
      </c>
      <c r="L92">
        <v>12</v>
      </c>
      <c r="M92" t="s">
        <v>20</v>
      </c>
      <c r="N92">
        <v>5</v>
      </c>
      <c r="O92" t="s">
        <v>29</v>
      </c>
      <c r="P92">
        <v>18</v>
      </c>
      <c r="Q92" t="s">
        <v>25</v>
      </c>
      <c r="R92">
        <v>19</v>
      </c>
      <c r="S92">
        <f>YEAR(Table1[[#This Row],[Visitor Date]])</f>
        <v>2022</v>
      </c>
      <c r="T92" t="str">
        <f>TEXT(Table1[[#This Row],[Visitor Date]],"MMM")</f>
        <v>Apr</v>
      </c>
    </row>
    <row r="93" spans="1:20" x14ac:dyDescent="0.25">
      <c r="A93" t="s">
        <v>28</v>
      </c>
      <c r="B93">
        <v>68</v>
      </c>
      <c r="C93" t="s">
        <v>23</v>
      </c>
      <c r="D93">
        <v>130</v>
      </c>
      <c r="E93" s="1">
        <v>44661</v>
      </c>
      <c r="F93">
        <v>11</v>
      </c>
      <c r="G93">
        <v>89</v>
      </c>
      <c r="H93">
        <v>53</v>
      </c>
      <c r="I93">
        <v>3</v>
      </c>
      <c r="J93">
        <v>65</v>
      </c>
      <c r="K93">
        <v>28</v>
      </c>
      <c r="L93">
        <v>10</v>
      </c>
      <c r="M93" t="s">
        <v>20</v>
      </c>
      <c r="N93">
        <v>4.5</v>
      </c>
      <c r="O93" t="s">
        <v>29</v>
      </c>
      <c r="P93">
        <v>16</v>
      </c>
      <c r="Q93" t="s">
        <v>25</v>
      </c>
      <c r="R93">
        <v>17</v>
      </c>
      <c r="S93">
        <f>YEAR(Table1[[#This Row],[Visitor Date]])</f>
        <v>2022</v>
      </c>
      <c r="T93" t="str">
        <f>TEXT(Table1[[#This Row],[Visitor Date]],"MMM")</f>
        <v>Apr</v>
      </c>
    </row>
    <row r="94" spans="1:20" x14ac:dyDescent="0.25">
      <c r="A94" t="s">
        <v>30</v>
      </c>
      <c r="B94">
        <v>14</v>
      </c>
      <c r="C94" t="s">
        <v>19</v>
      </c>
      <c r="D94">
        <v>8</v>
      </c>
      <c r="E94" s="1">
        <v>44662</v>
      </c>
      <c r="F94">
        <v>17</v>
      </c>
      <c r="G94">
        <v>72</v>
      </c>
      <c r="H94">
        <v>42</v>
      </c>
      <c r="I94">
        <v>4.2</v>
      </c>
      <c r="J94">
        <v>0</v>
      </c>
      <c r="K94">
        <v>96</v>
      </c>
      <c r="L94">
        <v>14.5</v>
      </c>
      <c r="M94" t="s">
        <v>27</v>
      </c>
      <c r="N94">
        <v>21</v>
      </c>
      <c r="O94" t="s">
        <v>31</v>
      </c>
      <c r="P94">
        <v>16</v>
      </c>
      <c r="Q94" t="s">
        <v>25</v>
      </c>
      <c r="R94">
        <v>15.5</v>
      </c>
      <c r="S94">
        <f>YEAR(Table1[[#This Row],[Visitor Date]])</f>
        <v>2022</v>
      </c>
      <c r="T94" t="str">
        <f>TEXT(Table1[[#This Row],[Visitor Date]],"MMM")</f>
        <v>Apr</v>
      </c>
    </row>
    <row r="95" spans="1:20" x14ac:dyDescent="0.25">
      <c r="A95" t="s">
        <v>30</v>
      </c>
      <c r="B95">
        <v>14</v>
      </c>
      <c r="C95" t="s">
        <v>23</v>
      </c>
      <c r="D95">
        <v>115</v>
      </c>
      <c r="E95" s="1">
        <v>44663</v>
      </c>
      <c r="F95">
        <v>8</v>
      </c>
      <c r="G95">
        <v>67</v>
      </c>
      <c r="H95">
        <v>27</v>
      </c>
      <c r="I95">
        <v>3.7</v>
      </c>
      <c r="J95">
        <v>56</v>
      </c>
      <c r="K95">
        <v>62</v>
      </c>
      <c r="L95">
        <v>12.5</v>
      </c>
      <c r="M95" t="s">
        <v>27</v>
      </c>
      <c r="N95">
        <v>20.5</v>
      </c>
      <c r="O95" t="s">
        <v>31</v>
      </c>
      <c r="P95">
        <v>14</v>
      </c>
      <c r="Q95" t="s">
        <v>25</v>
      </c>
      <c r="R95">
        <v>13.5</v>
      </c>
      <c r="S95">
        <f>YEAR(Table1[[#This Row],[Visitor Date]])</f>
        <v>2022</v>
      </c>
      <c r="T95" t="str">
        <f>TEXT(Table1[[#This Row],[Visitor Date]],"MMM")</f>
        <v>Apr</v>
      </c>
    </row>
    <row r="96" spans="1:20" x14ac:dyDescent="0.25">
      <c r="A96" t="s">
        <v>32</v>
      </c>
      <c r="B96">
        <v>33</v>
      </c>
      <c r="C96" t="s">
        <v>19</v>
      </c>
      <c r="D96">
        <v>133</v>
      </c>
      <c r="E96" s="1">
        <v>44664</v>
      </c>
      <c r="F96">
        <v>20</v>
      </c>
      <c r="G96">
        <v>63</v>
      </c>
      <c r="H96">
        <v>28</v>
      </c>
      <c r="I96">
        <v>4.3</v>
      </c>
      <c r="J96">
        <v>53</v>
      </c>
      <c r="K96">
        <v>96</v>
      </c>
      <c r="L96">
        <v>15</v>
      </c>
      <c r="M96" t="s">
        <v>24</v>
      </c>
      <c r="N96">
        <v>19</v>
      </c>
      <c r="O96" t="s">
        <v>33</v>
      </c>
      <c r="P96">
        <v>14</v>
      </c>
      <c r="Q96" t="s">
        <v>34</v>
      </c>
      <c r="R96">
        <v>11</v>
      </c>
      <c r="S96">
        <f>YEAR(Table1[[#This Row],[Visitor Date]])</f>
        <v>2022</v>
      </c>
      <c r="T96" t="str">
        <f>TEXT(Table1[[#This Row],[Visitor Date]],"MMM")</f>
        <v>Apr</v>
      </c>
    </row>
    <row r="97" spans="1:20" x14ac:dyDescent="0.25">
      <c r="A97" t="s">
        <v>32</v>
      </c>
      <c r="B97">
        <v>33</v>
      </c>
      <c r="C97" t="s">
        <v>23</v>
      </c>
      <c r="D97">
        <v>26</v>
      </c>
      <c r="E97" s="1">
        <v>44665</v>
      </c>
      <c r="F97">
        <v>15</v>
      </c>
      <c r="G97">
        <v>59</v>
      </c>
      <c r="H97">
        <v>29</v>
      </c>
      <c r="I97">
        <v>3.9</v>
      </c>
      <c r="J97">
        <v>51</v>
      </c>
      <c r="K97">
        <v>80</v>
      </c>
      <c r="L97">
        <v>14</v>
      </c>
      <c r="M97" t="s">
        <v>24</v>
      </c>
      <c r="N97">
        <v>18</v>
      </c>
      <c r="O97" t="s">
        <v>33</v>
      </c>
      <c r="P97">
        <v>13</v>
      </c>
      <c r="Q97" t="s">
        <v>34</v>
      </c>
      <c r="R97">
        <v>10</v>
      </c>
      <c r="S97">
        <f>YEAR(Table1[[#This Row],[Visitor Date]])</f>
        <v>2022</v>
      </c>
      <c r="T97" t="str">
        <f>TEXT(Table1[[#This Row],[Visitor Date]],"MMM")</f>
        <v>Apr</v>
      </c>
    </row>
    <row r="98" spans="1:20" x14ac:dyDescent="0.25">
      <c r="A98" t="s">
        <v>18</v>
      </c>
      <c r="B98">
        <v>91</v>
      </c>
      <c r="C98" t="s">
        <v>19</v>
      </c>
      <c r="D98">
        <v>54</v>
      </c>
      <c r="E98" s="1">
        <v>44666</v>
      </c>
      <c r="F98">
        <v>52</v>
      </c>
      <c r="G98">
        <v>54</v>
      </c>
      <c r="H98">
        <v>77</v>
      </c>
      <c r="I98">
        <v>4.4000000000000004</v>
      </c>
      <c r="J98">
        <v>59</v>
      </c>
      <c r="K98">
        <v>73</v>
      </c>
      <c r="L98">
        <v>16</v>
      </c>
      <c r="M98" t="s">
        <v>20</v>
      </c>
      <c r="N98">
        <v>7</v>
      </c>
      <c r="O98" t="s">
        <v>21</v>
      </c>
      <c r="P98">
        <v>15</v>
      </c>
      <c r="Q98" t="s">
        <v>22</v>
      </c>
      <c r="R98">
        <v>22</v>
      </c>
      <c r="S98">
        <f>YEAR(Table1[[#This Row],[Visitor Date]])</f>
        <v>2022</v>
      </c>
      <c r="T98" t="str">
        <f>TEXT(Table1[[#This Row],[Visitor Date]],"MMM")</f>
        <v>Apr</v>
      </c>
    </row>
    <row r="99" spans="1:20" x14ac:dyDescent="0.25">
      <c r="A99" t="s">
        <v>18</v>
      </c>
      <c r="B99">
        <v>91</v>
      </c>
      <c r="C99" t="s">
        <v>23</v>
      </c>
      <c r="D99">
        <v>2</v>
      </c>
      <c r="E99" s="1">
        <v>44667</v>
      </c>
      <c r="F99">
        <v>27</v>
      </c>
      <c r="G99">
        <v>56</v>
      </c>
      <c r="H99">
        <v>70</v>
      </c>
      <c r="I99">
        <v>3.8</v>
      </c>
      <c r="J99">
        <v>58</v>
      </c>
      <c r="K99">
        <v>58</v>
      </c>
      <c r="L99">
        <v>14</v>
      </c>
      <c r="M99" t="s">
        <v>20</v>
      </c>
      <c r="N99">
        <v>6</v>
      </c>
      <c r="O99" t="s">
        <v>21</v>
      </c>
      <c r="P99">
        <v>14</v>
      </c>
      <c r="Q99" t="s">
        <v>22</v>
      </c>
      <c r="R99">
        <v>21</v>
      </c>
      <c r="S99">
        <f>YEAR(Table1[[#This Row],[Visitor Date]])</f>
        <v>2022</v>
      </c>
      <c r="T99" t="str">
        <f>TEXT(Table1[[#This Row],[Visitor Date]],"MMM")</f>
        <v>Apr</v>
      </c>
    </row>
    <row r="100" spans="1:20" x14ac:dyDescent="0.25">
      <c r="A100" t="s">
        <v>24</v>
      </c>
      <c r="B100">
        <v>44</v>
      </c>
      <c r="C100" t="s">
        <v>19</v>
      </c>
      <c r="D100">
        <v>42</v>
      </c>
      <c r="E100" s="1">
        <v>44668</v>
      </c>
      <c r="F100">
        <v>45</v>
      </c>
      <c r="G100">
        <v>89</v>
      </c>
      <c r="H100">
        <v>45</v>
      </c>
      <c r="I100">
        <v>3.2</v>
      </c>
      <c r="J100">
        <v>45</v>
      </c>
      <c r="K100">
        <v>31</v>
      </c>
      <c r="L100">
        <v>17</v>
      </c>
      <c r="M100" t="s">
        <v>24</v>
      </c>
      <c r="N100">
        <v>26</v>
      </c>
      <c r="O100" t="s">
        <v>21</v>
      </c>
      <c r="P100">
        <v>7</v>
      </c>
      <c r="Q100" t="s">
        <v>25</v>
      </c>
      <c r="R100">
        <v>7</v>
      </c>
      <c r="S100">
        <f>YEAR(Table1[[#This Row],[Visitor Date]])</f>
        <v>2022</v>
      </c>
      <c r="T100" t="str">
        <f>TEXT(Table1[[#This Row],[Visitor Date]],"MMM")</f>
        <v>Apr</v>
      </c>
    </row>
    <row r="101" spans="1:20" x14ac:dyDescent="0.25">
      <c r="A101" t="s">
        <v>24</v>
      </c>
      <c r="B101">
        <v>44</v>
      </c>
      <c r="C101" t="s">
        <v>23</v>
      </c>
      <c r="D101">
        <v>39</v>
      </c>
      <c r="E101" s="1">
        <v>44669</v>
      </c>
      <c r="F101">
        <v>38</v>
      </c>
      <c r="G101">
        <v>85</v>
      </c>
      <c r="H101">
        <v>35</v>
      </c>
      <c r="I101">
        <v>2.8</v>
      </c>
      <c r="J101">
        <v>44</v>
      </c>
      <c r="K101">
        <v>27</v>
      </c>
      <c r="L101">
        <v>16</v>
      </c>
      <c r="M101" t="s">
        <v>24</v>
      </c>
      <c r="N101">
        <v>25</v>
      </c>
      <c r="O101" t="s">
        <v>21</v>
      </c>
      <c r="P101">
        <v>6.5</v>
      </c>
      <c r="Q101" t="s">
        <v>25</v>
      </c>
      <c r="R101">
        <v>6.5</v>
      </c>
      <c r="S101">
        <f>YEAR(Table1[[#This Row],[Visitor Date]])</f>
        <v>2022</v>
      </c>
      <c r="T101" t="str">
        <f>TEXT(Table1[[#This Row],[Visitor Date]],"MMM")</f>
        <v>Apr</v>
      </c>
    </row>
    <row r="102" spans="1:20" x14ac:dyDescent="0.25">
      <c r="A102" t="s">
        <v>26</v>
      </c>
      <c r="B102">
        <v>26</v>
      </c>
      <c r="C102" t="s">
        <v>19</v>
      </c>
      <c r="D102">
        <v>34</v>
      </c>
      <c r="E102" s="1">
        <v>44670</v>
      </c>
      <c r="F102">
        <v>9</v>
      </c>
      <c r="G102">
        <v>5.5</v>
      </c>
      <c r="H102">
        <v>76</v>
      </c>
      <c r="I102">
        <v>3.5</v>
      </c>
      <c r="J102">
        <v>48</v>
      </c>
      <c r="K102">
        <v>33</v>
      </c>
      <c r="L102">
        <v>6.5</v>
      </c>
      <c r="M102" t="s">
        <v>27</v>
      </c>
      <c r="N102">
        <v>22</v>
      </c>
      <c r="O102" t="s">
        <v>21</v>
      </c>
      <c r="P102">
        <v>15</v>
      </c>
      <c r="Q102" t="s">
        <v>22</v>
      </c>
      <c r="R102">
        <v>12</v>
      </c>
      <c r="S102">
        <f>YEAR(Table1[[#This Row],[Visitor Date]])</f>
        <v>2022</v>
      </c>
      <c r="T102" t="str">
        <f>TEXT(Table1[[#This Row],[Visitor Date]],"MMM")</f>
        <v>Apr</v>
      </c>
    </row>
    <row r="103" spans="1:20" x14ac:dyDescent="0.25">
      <c r="A103" t="s">
        <v>26</v>
      </c>
      <c r="B103">
        <v>26</v>
      </c>
      <c r="C103" t="s">
        <v>23</v>
      </c>
      <c r="D103">
        <v>128</v>
      </c>
      <c r="E103" s="1">
        <v>44671</v>
      </c>
      <c r="F103">
        <v>12</v>
      </c>
      <c r="G103">
        <v>6</v>
      </c>
      <c r="H103">
        <v>75</v>
      </c>
      <c r="I103">
        <v>3.1</v>
      </c>
      <c r="J103">
        <v>45</v>
      </c>
      <c r="K103">
        <v>28</v>
      </c>
      <c r="L103">
        <v>5</v>
      </c>
      <c r="M103" t="s">
        <v>27</v>
      </c>
      <c r="N103">
        <v>21</v>
      </c>
      <c r="O103" t="s">
        <v>21</v>
      </c>
      <c r="P103">
        <v>14</v>
      </c>
      <c r="Q103" t="s">
        <v>22</v>
      </c>
      <c r="R103">
        <v>11</v>
      </c>
      <c r="S103">
        <f>YEAR(Table1[[#This Row],[Visitor Date]])</f>
        <v>2022</v>
      </c>
      <c r="T103" t="str">
        <f>TEXT(Table1[[#This Row],[Visitor Date]],"MMM")</f>
        <v>Apr</v>
      </c>
    </row>
    <row r="104" spans="1:20" x14ac:dyDescent="0.25">
      <c r="A104" t="s">
        <v>18</v>
      </c>
      <c r="B104">
        <v>91</v>
      </c>
      <c r="C104" t="s">
        <v>19</v>
      </c>
      <c r="D104">
        <v>56</v>
      </c>
      <c r="E104" s="1">
        <v>44672</v>
      </c>
      <c r="F104">
        <v>55</v>
      </c>
      <c r="G104">
        <v>54.88</v>
      </c>
      <c r="H104">
        <v>77</v>
      </c>
      <c r="I104">
        <v>4.3</v>
      </c>
      <c r="J104">
        <v>1.5</v>
      </c>
      <c r="K104">
        <v>71</v>
      </c>
      <c r="L104">
        <v>17.100000000000001</v>
      </c>
      <c r="M104" t="s">
        <v>20</v>
      </c>
      <c r="N104">
        <v>6.2</v>
      </c>
      <c r="O104" t="s">
        <v>21</v>
      </c>
      <c r="P104">
        <v>17.399999999999999</v>
      </c>
      <c r="Q104" t="s">
        <v>22</v>
      </c>
      <c r="R104">
        <v>22.2</v>
      </c>
      <c r="S104">
        <f>YEAR(Table1[[#This Row],[Visitor Date]])</f>
        <v>2022</v>
      </c>
      <c r="T104" t="str">
        <f>TEXT(Table1[[#This Row],[Visitor Date]],"MMM")</f>
        <v>Apr</v>
      </c>
    </row>
    <row r="105" spans="1:20" x14ac:dyDescent="0.25">
      <c r="A105" t="s">
        <v>18</v>
      </c>
      <c r="B105">
        <v>91</v>
      </c>
      <c r="C105" t="s">
        <v>23</v>
      </c>
      <c r="D105">
        <v>24</v>
      </c>
      <c r="E105" s="1">
        <v>44673</v>
      </c>
      <c r="F105">
        <v>28</v>
      </c>
      <c r="G105">
        <v>56.3</v>
      </c>
      <c r="H105">
        <v>73</v>
      </c>
      <c r="I105">
        <v>3.5</v>
      </c>
      <c r="J105">
        <v>59.2</v>
      </c>
      <c r="K105">
        <v>55</v>
      </c>
      <c r="L105">
        <v>16</v>
      </c>
      <c r="M105" t="s">
        <v>20</v>
      </c>
      <c r="N105">
        <v>6</v>
      </c>
      <c r="O105" t="s">
        <v>21</v>
      </c>
      <c r="P105">
        <v>16.8</v>
      </c>
      <c r="Q105" t="s">
        <v>22</v>
      </c>
      <c r="R105">
        <v>21.5</v>
      </c>
      <c r="S105">
        <f>YEAR(Table1[[#This Row],[Visitor Date]])</f>
        <v>2022</v>
      </c>
      <c r="T105" t="str">
        <f>TEXT(Table1[[#This Row],[Visitor Date]],"MMM")</f>
        <v>Apr</v>
      </c>
    </row>
    <row r="106" spans="1:20" x14ac:dyDescent="0.25">
      <c r="A106" t="s">
        <v>18</v>
      </c>
      <c r="B106">
        <v>91</v>
      </c>
      <c r="C106" t="s">
        <v>35</v>
      </c>
      <c r="D106">
        <v>8</v>
      </c>
      <c r="E106" s="1">
        <v>44674</v>
      </c>
      <c r="F106">
        <v>20</v>
      </c>
      <c r="G106">
        <v>58</v>
      </c>
      <c r="H106">
        <v>65</v>
      </c>
      <c r="I106">
        <v>3.9</v>
      </c>
      <c r="J106">
        <v>57.5</v>
      </c>
      <c r="K106">
        <v>49</v>
      </c>
      <c r="L106">
        <v>15.5</v>
      </c>
      <c r="M106" t="s">
        <v>20</v>
      </c>
      <c r="N106">
        <v>5.5</v>
      </c>
      <c r="O106" t="s">
        <v>21</v>
      </c>
      <c r="P106">
        <v>15.2</v>
      </c>
      <c r="Q106" t="s">
        <v>34</v>
      </c>
      <c r="R106">
        <v>20</v>
      </c>
      <c r="S106">
        <f>YEAR(Table1[[#This Row],[Visitor Date]])</f>
        <v>2022</v>
      </c>
      <c r="T106" t="str">
        <f>TEXT(Table1[[#This Row],[Visitor Date]],"MMM")</f>
        <v>Apr</v>
      </c>
    </row>
    <row r="107" spans="1:20" x14ac:dyDescent="0.25">
      <c r="A107" t="s">
        <v>24</v>
      </c>
      <c r="B107">
        <v>44</v>
      </c>
      <c r="C107" t="s">
        <v>19</v>
      </c>
      <c r="D107">
        <v>40</v>
      </c>
      <c r="E107" s="1">
        <v>44675</v>
      </c>
      <c r="F107">
        <v>48</v>
      </c>
      <c r="G107">
        <v>91.47</v>
      </c>
      <c r="H107">
        <v>49</v>
      </c>
      <c r="I107">
        <v>3</v>
      </c>
      <c r="J107">
        <v>47.8</v>
      </c>
      <c r="K107">
        <v>33</v>
      </c>
      <c r="L107">
        <v>18</v>
      </c>
      <c r="M107" t="s">
        <v>24</v>
      </c>
      <c r="N107">
        <v>27.5</v>
      </c>
      <c r="O107" t="s">
        <v>21</v>
      </c>
      <c r="P107">
        <v>8.1</v>
      </c>
      <c r="Q107" t="s">
        <v>25</v>
      </c>
      <c r="R107">
        <v>6.9</v>
      </c>
      <c r="S107">
        <f>YEAR(Table1[[#This Row],[Visitor Date]])</f>
        <v>2022</v>
      </c>
      <c r="T107" t="str">
        <f>TEXT(Table1[[#This Row],[Visitor Date]],"MMM")</f>
        <v>Apr</v>
      </c>
    </row>
    <row r="108" spans="1:20" x14ac:dyDescent="0.25">
      <c r="A108" t="s">
        <v>24</v>
      </c>
      <c r="B108">
        <v>44</v>
      </c>
      <c r="C108" t="s">
        <v>23</v>
      </c>
      <c r="D108">
        <v>37</v>
      </c>
      <c r="E108" s="1">
        <v>44676</v>
      </c>
      <c r="F108">
        <v>39</v>
      </c>
      <c r="G108">
        <v>85.3</v>
      </c>
      <c r="H108">
        <v>35</v>
      </c>
      <c r="I108">
        <v>2.8</v>
      </c>
      <c r="J108">
        <v>5</v>
      </c>
      <c r="K108">
        <v>28</v>
      </c>
      <c r="L108">
        <v>17.5</v>
      </c>
      <c r="M108" t="s">
        <v>24</v>
      </c>
      <c r="N108">
        <v>26</v>
      </c>
      <c r="O108" t="s">
        <v>21</v>
      </c>
      <c r="P108">
        <v>7.5</v>
      </c>
      <c r="Q108" t="s">
        <v>25</v>
      </c>
      <c r="R108">
        <v>6.3</v>
      </c>
      <c r="S108">
        <f>YEAR(Table1[[#This Row],[Visitor Date]])</f>
        <v>2022</v>
      </c>
      <c r="T108" t="str">
        <f>TEXT(Table1[[#This Row],[Visitor Date]],"MMM")</f>
        <v>Apr</v>
      </c>
    </row>
    <row r="109" spans="1:20" x14ac:dyDescent="0.25">
      <c r="A109" t="s">
        <v>24</v>
      </c>
      <c r="B109">
        <v>44</v>
      </c>
      <c r="C109" t="s">
        <v>35</v>
      </c>
      <c r="D109">
        <v>29</v>
      </c>
      <c r="E109" s="1">
        <v>44677</v>
      </c>
      <c r="F109">
        <v>30</v>
      </c>
      <c r="G109">
        <v>87</v>
      </c>
      <c r="H109">
        <v>30</v>
      </c>
      <c r="I109">
        <v>3.2</v>
      </c>
      <c r="J109">
        <v>46.5</v>
      </c>
      <c r="K109">
        <v>93</v>
      </c>
      <c r="L109">
        <v>14</v>
      </c>
      <c r="M109" t="s">
        <v>24</v>
      </c>
      <c r="N109">
        <v>24</v>
      </c>
      <c r="O109" t="s">
        <v>21</v>
      </c>
      <c r="P109">
        <v>6.8</v>
      </c>
      <c r="Q109" t="s">
        <v>25</v>
      </c>
      <c r="R109">
        <v>6.1</v>
      </c>
      <c r="S109">
        <f>YEAR(Table1[[#This Row],[Visitor Date]])</f>
        <v>2022</v>
      </c>
      <c r="T109" t="str">
        <f>TEXT(Table1[[#This Row],[Visitor Date]],"MMM")</f>
        <v>Apr</v>
      </c>
    </row>
    <row r="110" spans="1:20" x14ac:dyDescent="0.25">
      <c r="A110" t="s">
        <v>26</v>
      </c>
      <c r="B110">
        <v>26</v>
      </c>
      <c r="C110" t="s">
        <v>19</v>
      </c>
      <c r="D110">
        <v>33</v>
      </c>
      <c r="E110" s="1">
        <v>44678</v>
      </c>
      <c r="F110">
        <v>10</v>
      </c>
      <c r="G110">
        <v>6.04</v>
      </c>
      <c r="H110">
        <v>78</v>
      </c>
      <c r="I110">
        <v>3.1</v>
      </c>
      <c r="J110">
        <v>48.7</v>
      </c>
      <c r="K110">
        <v>35</v>
      </c>
      <c r="L110">
        <v>5.8</v>
      </c>
      <c r="M110" t="s">
        <v>27</v>
      </c>
      <c r="N110">
        <v>23.6</v>
      </c>
      <c r="O110" t="s">
        <v>21</v>
      </c>
      <c r="P110">
        <v>18.399999999999999</v>
      </c>
      <c r="Q110" t="s">
        <v>22</v>
      </c>
      <c r="R110">
        <v>11.6</v>
      </c>
      <c r="S110">
        <f>YEAR(Table1[[#This Row],[Visitor Date]])</f>
        <v>2022</v>
      </c>
      <c r="T110" t="str">
        <f>TEXT(Table1[[#This Row],[Visitor Date]],"MMM")</f>
        <v>Apr</v>
      </c>
    </row>
    <row r="111" spans="1:20" x14ac:dyDescent="0.25">
      <c r="A111" t="s">
        <v>26</v>
      </c>
      <c r="B111">
        <v>26</v>
      </c>
      <c r="C111" t="s">
        <v>23</v>
      </c>
      <c r="D111">
        <v>39</v>
      </c>
      <c r="E111" s="1">
        <v>44679</v>
      </c>
      <c r="F111">
        <v>15</v>
      </c>
      <c r="G111">
        <v>7.5</v>
      </c>
      <c r="H111">
        <v>75</v>
      </c>
      <c r="I111">
        <v>3.2</v>
      </c>
      <c r="J111">
        <v>46.2</v>
      </c>
      <c r="K111">
        <v>30</v>
      </c>
      <c r="L111">
        <v>5.5</v>
      </c>
      <c r="M111" t="s">
        <v>27</v>
      </c>
      <c r="N111">
        <v>22</v>
      </c>
      <c r="O111" t="s">
        <v>21</v>
      </c>
      <c r="P111">
        <v>16.7</v>
      </c>
      <c r="Q111" t="s">
        <v>22</v>
      </c>
      <c r="R111">
        <v>10.8</v>
      </c>
      <c r="S111">
        <f>YEAR(Table1[[#This Row],[Visitor Date]])</f>
        <v>2022</v>
      </c>
      <c r="T111" t="str">
        <f>TEXT(Table1[[#This Row],[Visitor Date]],"MMM")</f>
        <v>Apr</v>
      </c>
    </row>
    <row r="112" spans="1:20" x14ac:dyDescent="0.25">
      <c r="A112" t="s">
        <v>26</v>
      </c>
      <c r="B112">
        <v>26</v>
      </c>
      <c r="C112" t="s">
        <v>35</v>
      </c>
      <c r="D112">
        <v>20</v>
      </c>
      <c r="E112" s="1">
        <v>44680</v>
      </c>
      <c r="F112">
        <v>12</v>
      </c>
      <c r="G112">
        <v>8</v>
      </c>
      <c r="H112">
        <v>70</v>
      </c>
      <c r="I112">
        <v>3.1</v>
      </c>
      <c r="J112">
        <v>44</v>
      </c>
      <c r="K112">
        <v>65</v>
      </c>
      <c r="L112">
        <v>4</v>
      </c>
      <c r="M112" t="s">
        <v>27</v>
      </c>
      <c r="N112">
        <v>20</v>
      </c>
      <c r="O112" t="s">
        <v>21</v>
      </c>
      <c r="P112">
        <v>14</v>
      </c>
      <c r="Q112" t="s">
        <v>22</v>
      </c>
      <c r="R112">
        <v>9.5</v>
      </c>
      <c r="S112">
        <f>YEAR(Table1[[#This Row],[Visitor Date]])</f>
        <v>2022</v>
      </c>
      <c r="T112" t="str">
        <f>TEXT(Table1[[#This Row],[Visitor Date]],"MMM")</f>
        <v>Apr</v>
      </c>
    </row>
    <row r="113" spans="1:20" x14ac:dyDescent="0.25">
      <c r="A113" t="s">
        <v>28</v>
      </c>
      <c r="B113">
        <v>68</v>
      </c>
      <c r="C113" t="s">
        <v>19</v>
      </c>
      <c r="D113">
        <v>60</v>
      </c>
      <c r="E113" s="1">
        <v>44681</v>
      </c>
      <c r="F113">
        <v>16</v>
      </c>
      <c r="G113">
        <v>90</v>
      </c>
      <c r="H113">
        <v>54</v>
      </c>
      <c r="I113">
        <v>3.5</v>
      </c>
      <c r="J113">
        <v>7.8</v>
      </c>
      <c r="K113">
        <v>34</v>
      </c>
      <c r="L113">
        <v>11</v>
      </c>
      <c r="M113" t="s">
        <v>20</v>
      </c>
      <c r="N113">
        <v>5.3</v>
      </c>
      <c r="O113" t="s">
        <v>29</v>
      </c>
      <c r="P113">
        <v>20.5</v>
      </c>
      <c r="Q113" t="s">
        <v>25</v>
      </c>
      <c r="R113">
        <v>19.5</v>
      </c>
      <c r="S113">
        <f>YEAR(Table1[[#This Row],[Visitor Date]])</f>
        <v>2022</v>
      </c>
      <c r="T113" t="str">
        <f>TEXT(Table1[[#This Row],[Visitor Date]],"MMM")</f>
        <v>Apr</v>
      </c>
    </row>
    <row r="114" spans="1:20" x14ac:dyDescent="0.25">
      <c r="A114" t="s">
        <v>28</v>
      </c>
      <c r="B114">
        <v>68</v>
      </c>
      <c r="C114" t="s">
        <v>23</v>
      </c>
      <c r="D114">
        <v>3</v>
      </c>
      <c r="E114" s="1">
        <v>44682</v>
      </c>
      <c r="F114">
        <v>12</v>
      </c>
      <c r="G114">
        <v>88</v>
      </c>
      <c r="H114">
        <v>50</v>
      </c>
      <c r="I114">
        <v>3.2</v>
      </c>
      <c r="J114">
        <v>6</v>
      </c>
      <c r="K114">
        <v>29</v>
      </c>
      <c r="L114">
        <v>10.199999999999999</v>
      </c>
      <c r="M114" t="s">
        <v>20</v>
      </c>
      <c r="N114">
        <v>4.8</v>
      </c>
      <c r="O114" t="s">
        <v>29</v>
      </c>
      <c r="P114">
        <v>19.7</v>
      </c>
      <c r="Q114" t="s">
        <v>25</v>
      </c>
      <c r="R114">
        <v>18</v>
      </c>
      <c r="S114">
        <f>YEAR(Table1[[#This Row],[Visitor Date]])</f>
        <v>2022</v>
      </c>
      <c r="T114" t="str">
        <f>TEXT(Table1[[#This Row],[Visitor Date]],"MMM")</f>
        <v>May</v>
      </c>
    </row>
    <row r="115" spans="1:20" x14ac:dyDescent="0.25">
      <c r="A115" t="s">
        <v>28</v>
      </c>
      <c r="B115">
        <v>68</v>
      </c>
      <c r="C115" t="s">
        <v>35</v>
      </c>
      <c r="D115">
        <v>5</v>
      </c>
      <c r="E115" s="1">
        <v>44683</v>
      </c>
      <c r="F115">
        <v>10</v>
      </c>
      <c r="G115">
        <v>89</v>
      </c>
      <c r="H115">
        <v>45</v>
      </c>
      <c r="I115">
        <v>3</v>
      </c>
      <c r="J115">
        <v>6</v>
      </c>
      <c r="K115">
        <v>60</v>
      </c>
      <c r="L115">
        <v>9.5</v>
      </c>
      <c r="M115" t="s">
        <v>20</v>
      </c>
      <c r="N115">
        <v>4</v>
      </c>
      <c r="O115" t="s">
        <v>29</v>
      </c>
      <c r="P115">
        <v>18</v>
      </c>
      <c r="Q115" t="s">
        <v>25</v>
      </c>
      <c r="R115">
        <v>16</v>
      </c>
      <c r="S115">
        <f>YEAR(Table1[[#This Row],[Visitor Date]])</f>
        <v>2022</v>
      </c>
      <c r="T115" t="str">
        <f>TEXT(Table1[[#This Row],[Visitor Date]],"MMM")</f>
        <v>May</v>
      </c>
    </row>
    <row r="116" spans="1:20" x14ac:dyDescent="0.25">
      <c r="A116" t="s">
        <v>30</v>
      </c>
      <c r="B116">
        <v>14</v>
      </c>
      <c r="C116" t="s">
        <v>19</v>
      </c>
      <c r="D116">
        <v>6</v>
      </c>
      <c r="E116" s="1">
        <v>44684</v>
      </c>
      <c r="F116">
        <v>18</v>
      </c>
      <c r="G116">
        <v>70.63</v>
      </c>
      <c r="H116">
        <v>41</v>
      </c>
      <c r="I116">
        <v>4.0999999999999996</v>
      </c>
      <c r="J116">
        <v>59.4</v>
      </c>
      <c r="K116">
        <v>95</v>
      </c>
      <c r="L116">
        <v>15.6</v>
      </c>
      <c r="M116" t="s">
        <v>27</v>
      </c>
      <c r="N116">
        <v>23.7</v>
      </c>
      <c r="O116" t="s">
        <v>31</v>
      </c>
      <c r="P116">
        <v>15.6</v>
      </c>
      <c r="Q116" t="s">
        <v>25</v>
      </c>
      <c r="R116">
        <v>15.1</v>
      </c>
      <c r="S116">
        <f>YEAR(Table1[[#This Row],[Visitor Date]])</f>
        <v>2022</v>
      </c>
      <c r="T116" t="str">
        <f>TEXT(Table1[[#This Row],[Visitor Date]],"MMM")</f>
        <v>May</v>
      </c>
    </row>
    <row r="117" spans="1:20" x14ac:dyDescent="0.25">
      <c r="A117" t="s">
        <v>30</v>
      </c>
      <c r="B117">
        <v>14</v>
      </c>
      <c r="C117" t="s">
        <v>23</v>
      </c>
      <c r="D117">
        <v>113</v>
      </c>
      <c r="E117" s="1">
        <v>44685</v>
      </c>
      <c r="F117">
        <v>9</v>
      </c>
      <c r="G117">
        <v>65</v>
      </c>
      <c r="H117">
        <v>25</v>
      </c>
      <c r="I117">
        <v>3.4</v>
      </c>
      <c r="J117">
        <v>55</v>
      </c>
      <c r="K117">
        <v>64</v>
      </c>
      <c r="L117">
        <v>14</v>
      </c>
      <c r="M117" t="s">
        <v>27</v>
      </c>
      <c r="N117">
        <v>21.5</v>
      </c>
      <c r="O117" t="s">
        <v>31</v>
      </c>
      <c r="P117">
        <v>13.9</v>
      </c>
      <c r="Q117" t="s">
        <v>25</v>
      </c>
      <c r="R117">
        <v>14.2</v>
      </c>
      <c r="S117">
        <f>YEAR(Table1[[#This Row],[Visitor Date]])</f>
        <v>2022</v>
      </c>
      <c r="T117" t="str">
        <f>TEXT(Table1[[#This Row],[Visitor Date]],"MMM")</f>
        <v>May</v>
      </c>
    </row>
    <row r="118" spans="1:20" x14ac:dyDescent="0.25">
      <c r="A118" t="s">
        <v>30</v>
      </c>
      <c r="B118">
        <v>14</v>
      </c>
      <c r="C118" t="s">
        <v>35</v>
      </c>
      <c r="D118">
        <v>0</v>
      </c>
      <c r="E118" s="1">
        <v>44686</v>
      </c>
      <c r="F118">
        <v>7</v>
      </c>
      <c r="G118">
        <v>64</v>
      </c>
      <c r="H118">
        <v>26</v>
      </c>
      <c r="I118">
        <v>3.5</v>
      </c>
      <c r="J118">
        <v>53</v>
      </c>
      <c r="K118">
        <v>54</v>
      </c>
      <c r="L118">
        <v>12</v>
      </c>
      <c r="M118" t="s">
        <v>27</v>
      </c>
      <c r="N118">
        <v>20</v>
      </c>
      <c r="O118" t="s">
        <v>31</v>
      </c>
      <c r="P118">
        <v>12.5</v>
      </c>
      <c r="Q118" t="s">
        <v>25</v>
      </c>
      <c r="R118">
        <v>12</v>
      </c>
      <c r="S118">
        <f>YEAR(Table1[[#This Row],[Visitor Date]])</f>
        <v>2022</v>
      </c>
      <c r="T118" t="str">
        <f>TEXT(Table1[[#This Row],[Visitor Date]],"MMM")</f>
        <v>May</v>
      </c>
    </row>
    <row r="119" spans="1:20" x14ac:dyDescent="0.25">
      <c r="A119" t="s">
        <v>32</v>
      </c>
      <c r="B119">
        <v>33</v>
      </c>
      <c r="C119" t="s">
        <v>19</v>
      </c>
      <c r="D119">
        <v>32</v>
      </c>
      <c r="E119" s="1">
        <v>44687</v>
      </c>
      <c r="F119">
        <v>19</v>
      </c>
      <c r="G119">
        <v>65.34</v>
      </c>
      <c r="H119">
        <v>27</v>
      </c>
      <c r="I119">
        <v>4.2</v>
      </c>
      <c r="J119">
        <v>52.3</v>
      </c>
      <c r="K119">
        <v>94</v>
      </c>
      <c r="L119">
        <v>16.2</v>
      </c>
      <c r="M119" t="s">
        <v>24</v>
      </c>
      <c r="N119">
        <v>18.899999999999999</v>
      </c>
      <c r="O119" t="s">
        <v>33</v>
      </c>
      <c r="P119">
        <v>13.8</v>
      </c>
      <c r="Q119" t="s">
        <v>34</v>
      </c>
      <c r="R119">
        <v>10.7</v>
      </c>
      <c r="S119">
        <f>YEAR(Table1[[#This Row],[Visitor Date]])</f>
        <v>2022</v>
      </c>
      <c r="T119" t="str">
        <f>TEXT(Table1[[#This Row],[Visitor Date]],"MMM")</f>
        <v>May</v>
      </c>
    </row>
    <row r="120" spans="1:20" x14ac:dyDescent="0.25">
      <c r="A120" t="s">
        <v>32</v>
      </c>
      <c r="B120">
        <v>33</v>
      </c>
      <c r="C120" t="s">
        <v>23</v>
      </c>
      <c r="D120">
        <v>29</v>
      </c>
      <c r="E120" s="1">
        <v>44688</v>
      </c>
      <c r="F120">
        <v>14</v>
      </c>
      <c r="G120">
        <v>60.2</v>
      </c>
      <c r="H120">
        <v>28</v>
      </c>
      <c r="I120">
        <v>3.9</v>
      </c>
      <c r="J120">
        <v>50.5</v>
      </c>
      <c r="K120">
        <v>75</v>
      </c>
      <c r="L120">
        <v>15</v>
      </c>
      <c r="M120" t="s">
        <v>24</v>
      </c>
      <c r="N120">
        <v>17.8</v>
      </c>
      <c r="O120" t="s">
        <v>33</v>
      </c>
      <c r="P120">
        <v>12</v>
      </c>
      <c r="Q120" t="s">
        <v>34</v>
      </c>
      <c r="R120">
        <v>9.5</v>
      </c>
      <c r="S120">
        <f>YEAR(Table1[[#This Row],[Visitor Date]])</f>
        <v>2022</v>
      </c>
      <c r="T120" t="str">
        <f>TEXT(Table1[[#This Row],[Visitor Date]],"MMM")</f>
        <v>May</v>
      </c>
    </row>
    <row r="121" spans="1:20" x14ac:dyDescent="0.25">
      <c r="A121" t="s">
        <v>32</v>
      </c>
      <c r="B121">
        <v>33</v>
      </c>
      <c r="C121" t="s">
        <v>35</v>
      </c>
      <c r="D121">
        <v>2</v>
      </c>
      <c r="E121" s="1">
        <v>44689</v>
      </c>
      <c r="F121">
        <v>10</v>
      </c>
      <c r="G121">
        <v>58</v>
      </c>
      <c r="H121">
        <v>29</v>
      </c>
      <c r="I121">
        <v>3.6</v>
      </c>
      <c r="J121">
        <v>48</v>
      </c>
      <c r="K121">
        <v>51</v>
      </c>
      <c r="L121">
        <v>13</v>
      </c>
      <c r="M121" t="s">
        <v>24</v>
      </c>
      <c r="N121">
        <v>16</v>
      </c>
      <c r="O121" t="s">
        <v>33</v>
      </c>
      <c r="P121">
        <v>11</v>
      </c>
      <c r="Q121" t="s">
        <v>34</v>
      </c>
      <c r="R121">
        <v>8</v>
      </c>
      <c r="S121">
        <f>YEAR(Table1[[#This Row],[Visitor Date]])</f>
        <v>2022</v>
      </c>
      <c r="T121" t="str">
        <f>TEXT(Table1[[#This Row],[Visitor Date]],"MMM")</f>
        <v>May</v>
      </c>
    </row>
    <row r="122" spans="1:20" x14ac:dyDescent="0.25">
      <c r="A122" t="s">
        <v>18</v>
      </c>
      <c r="B122">
        <v>91</v>
      </c>
      <c r="C122" t="s">
        <v>19</v>
      </c>
      <c r="D122">
        <v>58</v>
      </c>
      <c r="E122" s="1">
        <v>44690</v>
      </c>
      <c r="F122">
        <v>54</v>
      </c>
      <c r="G122">
        <v>55.5</v>
      </c>
      <c r="H122">
        <v>77</v>
      </c>
      <c r="I122">
        <v>4.0999999999999996</v>
      </c>
      <c r="J122">
        <v>0</v>
      </c>
      <c r="K122">
        <v>72</v>
      </c>
      <c r="L122">
        <v>17.3</v>
      </c>
      <c r="M122" t="s">
        <v>20</v>
      </c>
      <c r="N122">
        <v>6.5</v>
      </c>
      <c r="O122" t="s">
        <v>21</v>
      </c>
      <c r="P122">
        <v>18.2</v>
      </c>
      <c r="Q122" t="s">
        <v>22</v>
      </c>
      <c r="R122">
        <v>23</v>
      </c>
      <c r="S122">
        <f>YEAR(Table1[[#This Row],[Visitor Date]])</f>
        <v>2022</v>
      </c>
      <c r="T122" t="str">
        <f>TEXT(Table1[[#This Row],[Visitor Date]],"MMM")</f>
        <v>May</v>
      </c>
    </row>
    <row r="123" spans="1:20" x14ac:dyDescent="0.25">
      <c r="A123" t="s">
        <v>18</v>
      </c>
      <c r="B123">
        <v>91</v>
      </c>
      <c r="C123" t="s">
        <v>23</v>
      </c>
      <c r="D123">
        <v>122</v>
      </c>
      <c r="E123" s="1">
        <v>44691</v>
      </c>
      <c r="F123">
        <v>26</v>
      </c>
      <c r="G123">
        <v>58</v>
      </c>
      <c r="H123">
        <v>70</v>
      </c>
      <c r="I123">
        <v>3.8</v>
      </c>
      <c r="J123">
        <v>58</v>
      </c>
      <c r="K123">
        <v>54</v>
      </c>
      <c r="L123">
        <v>15.5</v>
      </c>
      <c r="M123" t="s">
        <v>20</v>
      </c>
      <c r="N123">
        <v>5.8</v>
      </c>
      <c r="O123" t="s">
        <v>21</v>
      </c>
      <c r="P123">
        <v>15</v>
      </c>
      <c r="Q123" t="s">
        <v>22</v>
      </c>
      <c r="R123">
        <v>20</v>
      </c>
      <c r="S123">
        <f>YEAR(Table1[[#This Row],[Visitor Date]])</f>
        <v>2022</v>
      </c>
      <c r="T123" t="str">
        <f>TEXT(Table1[[#This Row],[Visitor Date]],"MMM")</f>
        <v>May</v>
      </c>
    </row>
    <row r="124" spans="1:20" x14ac:dyDescent="0.25">
      <c r="A124" t="s">
        <v>24</v>
      </c>
      <c r="B124">
        <v>44</v>
      </c>
      <c r="C124" t="s">
        <v>19</v>
      </c>
      <c r="D124">
        <v>45</v>
      </c>
      <c r="E124" s="1">
        <v>44692</v>
      </c>
      <c r="F124">
        <v>49</v>
      </c>
      <c r="G124">
        <v>90</v>
      </c>
      <c r="H124">
        <v>45</v>
      </c>
      <c r="I124">
        <v>3.1</v>
      </c>
      <c r="J124">
        <v>48.5</v>
      </c>
      <c r="K124">
        <v>33</v>
      </c>
      <c r="L124">
        <v>18.5</v>
      </c>
      <c r="M124" t="s">
        <v>24</v>
      </c>
      <c r="N124">
        <v>25</v>
      </c>
      <c r="O124" t="s">
        <v>21</v>
      </c>
      <c r="P124">
        <v>9</v>
      </c>
      <c r="Q124" t="s">
        <v>25</v>
      </c>
      <c r="R124">
        <v>7.5</v>
      </c>
      <c r="S124">
        <f>YEAR(Table1[[#This Row],[Visitor Date]])</f>
        <v>2022</v>
      </c>
      <c r="T124" t="str">
        <f>TEXT(Table1[[#This Row],[Visitor Date]],"MMM")</f>
        <v>May</v>
      </c>
    </row>
    <row r="125" spans="1:20" x14ac:dyDescent="0.25">
      <c r="A125" t="s">
        <v>24</v>
      </c>
      <c r="B125">
        <v>44</v>
      </c>
      <c r="C125" t="s">
        <v>23</v>
      </c>
      <c r="D125">
        <v>34</v>
      </c>
      <c r="E125" s="1">
        <v>44693</v>
      </c>
      <c r="F125">
        <v>37</v>
      </c>
      <c r="G125">
        <v>87</v>
      </c>
      <c r="H125">
        <v>40</v>
      </c>
      <c r="I125">
        <v>2.9</v>
      </c>
      <c r="J125">
        <v>44</v>
      </c>
      <c r="K125">
        <v>27</v>
      </c>
      <c r="L125">
        <v>16.5</v>
      </c>
      <c r="M125" t="s">
        <v>24</v>
      </c>
      <c r="N125">
        <v>24</v>
      </c>
      <c r="O125" t="s">
        <v>21</v>
      </c>
      <c r="P125">
        <v>8</v>
      </c>
      <c r="Q125" t="s">
        <v>25</v>
      </c>
      <c r="R125">
        <v>6.5</v>
      </c>
      <c r="S125">
        <f>YEAR(Table1[[#This Row],[Visitor Date]])</f>
        <v>2022</v>
      </c>
      <c r="T125" t="str">
        <f>TEXT(Table1[[#This Row],[Visitor Date]],"MMM")</f>
        <v>May</v>
      </c>
    </row>
    <row r="126" spans="1:20" x14ac:dyDescent="0.25">
      <c r="A126" t="s">
        <v>24</v>
      </c>
      <c r="B126">
        <v>44</v>
      </c>
      <c r="C126" t="s">
        <v>35</v>
      </c>
      <c r="D126">
        <v>2</v>
      </c>
      <c r="E126" s="1">
        <v>44694</v>
      </c>
      <c r="F126">
        <v>25</v>
      </c>
      <c r="G126">
        <v>85</v>
      </c>
      <c r="H126">
        <v>35</v>
      </c>
      <c r="I126">
        <v>3</v>
      </c>
      <c r="J126">
        <v>43</v>
      </c>
      <c r="K126">
        <v>78</v>
      </c>
      <c r="L126">
        <v>15</v>
      </c>
      <c r="M126" t="s">
        <v>24</v>
      </c>
      <c r="N126">
        <v>23</v>
      </c>
      <c r="O126" t="s">
        <v>21</v>
      </c>
      <c r="P126">
        <v>7</v>
      </c>
      <c r="Q126" t="s">
        <v>25</v>
      </c>
      <c r="R126">
        <v>5</v>
      </c>
      <c r="S126">
        <f>YEAR(Table1[[#This Row],[Visitor Date]])</f>
        <v>2022</v>
      </c>
      <c r="T126" t="str">
        <f>TEXT(Table1[[#This Row],[Visitor Date]],"MMM")</f>
        <v>May</v>
      </c>
    </row>
    <row r="127" spans="1:20" x14ac:dyDescent="0.25">
      <c r="A127" t="s">
        <v>26</v>
      </c>
      <c r="B127">
        <v>26</v>
      </c>
      <c r="C127" t="s">
        <v>19</v>
      </c>
      <c r="D127">
        <v>37</v>
      </c>
      <c r="E127" s="1">
        <v>44695</v>
      </c>
      <c r="F127">
        <v>8</v>
      </c>
      <c r="G127">
        <v>5</v>
      </c>
      <c r="H127">
        <v>76</v>
      </c>
      <c r="I127">
        <v>3</v>
      </c>
      <c r="J127">
        <v>47</v>
      </c>
      <c r="K127">
        <v>37</v>
      </c>
      <c r="L127">
        <v>6</v>
      </c>
      <c r="M127" t="s">
        <v>27</v>
      </c>
      <c r="N127">
        <v>20</v>
      </c>
      <c r="O127" t="s">
        <v>21</v>
      </c>
      <c r="P127">
        <v>16</v>
      </c>
      <c r="Q127" t="s">
        <v>22</v>
      </c>
      <c r="R127">
        <v>12</v>
      </c>
      <c r="S127">
        <f>YEAR(Table1[[#This Row],[Visitor Date]])</f>
        <v>2022</v>
      </c>
      <c r="T127" t="str">
        <f>TEXT(Table1[[#This Row],[Visitor Date]],"MMM")</f>
        <v>May</v>
      </c>
    </row>
    <row r="128" spans="1:20" x14ac:dyDescent="0.25">
      <c r="A128" t="s">
        <v>26</v>
      </c>
      <c r="B128">
        <v>26</v>
      </c>
      <c r="C128" t="s">
        <v>23</v>
      </c>
      <c r="D128">
        <v>29</v>
      </c>
      <c r="E128" s="1">
        <v>44696</v>
      </c>
      <c r="F128">
        <v>10</v>
      </c>
      <c r="G128">
        <v>7</v>
      </c>
      <c r="H128">
        <v>74</v>
      </c>
      <c r="I128">
        <v>3.2</v>
      </c>
      <c r="J128">
        <v>44</v>
      </c>
      <c r="K128">
        <v>31</v>
      </c>
      <c r="L128">
        <v>5.5</v>
      </c>
      <c r="M128" t="s">
        <v>27</v>
      </c>
      <c r="N128">
        <v>19</v>
      </c>
      <c r="O128" t="s">
        <v>21</v>
      </c>
      <c r="P128">
        <v>15</v>
      </c>
      <c r="Q128" t="s">
        <v>22</v>
      </c>
      <c r="R128">
        <v>11.5</v>
      </c>
      <c r="S128">
        <f>YEAR(Table1[[#This Row],[Visitor Date]])</f>
        <v>2022</v>
      </c>
      <c r="T128" t="str">
        <f>TEXT(Table1[[#This Row],[Visitor Date]],"MMM")</f>
        <v>May</v>
      </c>
    </row>
    <row r="129" spans="1:20" x14ac:dyDescent="0.25">
      <c r="A129" t="s">
        <v>26</v>
      </c>
      <c r="B129">
        <v>26</v>
      </c>
      <c r="C129" t="s">
        <v>35</v>
      </c>
      <c r="D129">
        <v>5</v>
      </c>
      <c r="E129" s="1">
        <v>44697</v>
      </c>
      <c r="F129">
        <v>7</v>
      </c>
      <c r="G129">
        <v>6.5</v>
      </c>
      <c r="H129">
        <v>70</v>
      </c>
      <c r="I129">
        <v>3.1</v>
      </c>
      <c r="J129">
        <v>42</v>
      </c>
      <c r="K129">
        <v>57</v>
      </c>
      <c r="L129">
        <v>4.5</v>
      </c>
      <c r="M129" t="s">
        <v>27</v>
      </c>
      <c r="N129">
        <v>18</v>
      </c>
      <c r="O129" t="s">
        <v>21</v>
      </c>
      <c r="P129">
        <v>14</v>
      </c>
      <c r="Q129" t="s">
        <v>22</v>
      </c>
      <c r="R129">
        <v>10</v>
      </c>
      <c r="S129">
        <f>YEAR(Table1[[#This Row],[Visitor Date]])</f>
        <v>2022</v>
      </c>
      <c r="T129" t="str">
        <f>TEXT(Table1[[#This Row],[Visitor Date]],"MMM")</f>
        <v>May</v>
      </c>
    </row>
    <row r="130" spans="1:20" x14ac:dyDescent="0.25">
      <c r="A130" t="s">
        <v>28</v>
      </c>
      <c r="B130">
        <v>68</v>
      </c>
      <c r="C130" t="s">
        <v>19</v>
      </c>
      <c r="D130">
        <v>6</v>
      </c>
      <c r="E130" s="1">
        <v>44698</v>
      </c>
      <c r="F130">
        <v>14</v>
      </c>
      <c r="G130">
        <v>91.5</v>
      </c>
      <c r="H130">
        <v>55</v>
      </c>
      <c r="I130">
        <v>3.6</v>
      </c>
      <c r="J130">
        <v>8</v>
      </c>
      <c r="K130">
        <v>35</v>
      </c>
      <c r="L130">
        <v>12</v>
      </c>
      <c r="M130" t="s">
        <v>20</v>
      </c>
      <c r="N130">
        <v>5</v>
      </c>
      <c r="O130" t="s">
        <v>29</v>
      </c>
      <c r="P130">
        <v>18</v>
      </c>
      <c r="Q130" t="s">
        <v>25</v>
      </c>
      <c r="R130">
        <v>19</v>
      </c>
      <c r="S130">
        <f>YEAR(Table1[[#This Row],[Visitor Date]])</f>
        <v>2022</v>
      </c>
      <c r="T130" t="str">
        <f>TEXT(Table1[[#This Row],[Visitor Date]],"MMM")</f>
        <v>May</v>
      </c>
    </row>
    <row r="131" spans="1:20" x14ac:dyDescent="0.25">
      <c r="A131" t="s">
        <v>28</v>
      </c>
      <c r="B131">
        <v>68</v>
      </c>
      <c r="C131" t="s">
        <v>23</v>
      </c>
      <c r="D131">
        <v>30</v>
      </c>
      <c r="E131" s="1">
        <v>44699</v>
      </c>
      <c r="F131">
        <v>11</v>
      </c>
      <c r="G131">
        <v>89</v>
      </c>
      <c r="H131">
        <v>53</v>
      </c>
      <c r="I131">
        <v>3</v>
      </c>
      <c r="J131">
        <v>6</v>
      </c>
      <c r="K131">
        <v>28</v>
      </c>
      <c r="L131">
        <v>10</v>
      </c>
      <c r="M131" t="s">
        <v>20</v>
      </c>
      <c r="N131">
        <v>4.5</v>
      </c>
      <c r="O131" t="s">
        <v>29</v>
      </c>
      <c r="P131">
        <v>16</v>
      </c>
      <c r="Q131" t="s">
        <v>25</v>
      </c>
      <c r="R131">
        <v>17</v>
      </c>
      <c r="S131">
        <f>YEAR(Table1[[#This Row],[Visitor Date]])</f>
        <v>2022</v>
      </c>
      <c r="T131" t="str">
        <f>TEXT(Table1[[#This Row],[Visitor Date]],"MMM")</f>
        <v>May</v>
      </c>
    </row>
    <row r="132" spans="1:20" x14ac:dyDescent="0.25">
      <c r="A132" t="s">
        <v>28</v>
      </c>
      <c r="B132">
        <v>68</v>
      </c>
      <c r="C132" t="s">
        <v>35</v>
      </c>
      <c r="D132">
        <v>0</v>
      </c>
      <c r="E132" s="1">
        <v>44700</v>
      </c>
      <c r="F132">
        <v>9</v>
      </c>
      <c r="G132">
        <v>88</v>
      </c>
      <c r="H132">
        <v>45</v>
      </c>
      <c r="I132">
        <v>2.8</v>
      </c>
      <c r="J132">
        <v>63</v>
      </c>
      <c r="K132">
        <v>45</v>
      </c>
      <c r="L132">
        <v>9</v>
      </c>
      <c r="M132" t="s">
        <v>20</v>
      </c>
      <c r="N132">
        <v>4</v>
      </c>
      <c r="O132" t="s">
        <v>29</v>
      </c>
      <c r="P132">
        <v>15</v>
      </c>
      <c r="Q132" t="s">
        <v>25</v>
      </c>
      <c r="R132">
        <v>16</v>
      </c>
      <c r="S132">
        <f>YEAR(Table1[[#This Row],[Visitor Date]])</f>
        <v>2022</v>
      </c>
      <c r="T132" t="str">
        <f>TEXT(Table1[[#This Row],[Visitor Date]],"MMM")</f>
        <v>May</v>
      </c>
    </row>
    <row r="133" spans="1:20" x14ac:dyDescent="0.25">
      <c r="A133" t="s">
        <v>30</v>
      </c>
      <c r="B133">
        <v>14</v>
      </c>
      <c r="C133" t="s">
        <v>19</v>
      </c>
      <c r="D133">
        <v>18</v>
      </c>
      <c r="E133" s="1">
        <v>44701</v>
      </c>
      <c r="F133">
        <v>17</v>
      </c>
      <c r="G133">
        <v>72</v>
      </c>
      <c r="H133">
        <v>42</v>
      </c>
      <c r="I133">
        <v>4.2</v>
      </c>
      <c r="J133">
        <v>60</v>
      </c>
      <c r="K133">
        <v>96</v>
      </c>
      <c r="L133">
        <v>14.5</v>
      </c>
      <c r="M133" t="s">
        <v>27</v>
      </c>
      <c r="N133">
        <v>21</v>
      </c>
      <c r="O133" t="s">
        <v>31</v>
      </c>
      <c r="P133">
        <v>16</v>
      </c>
      <c r="Q133" t="s">
        <v>25</v>
      </c>
      <c r="R133">
        <v>15.5</v>
      </c>
      <c r="S133">
        <f>YEAR(Table1[[#This Row],[Visitor Date]])</f>
        <v>2022</v>
      </c>
      <c r="T133" t="str">
        <f>TEXT(Table1[[#This Row],[Visitor Date]],"MMM")</f>
        <v>May</v>
      </c>
    </row>
    <row r="134" spans="1:20" x14ac:dyDescent="0.25">
      <c r="A134" t="s">
        <v>30</v>
      </c>
      <c r="B134">
        <v>14</v>
      </c>
      <c r="C134" t="s">
        <v>23</v>
      </c>
      <c r="D134">
        <v>15</v>
      </c>
      <c r="E134" s="1">
        <v>44702</v>
      </c>
      <c r="F134">
        <v>8</v>
      </c>
      <c r="G134">
        <v>67</v>
      </c>
      <c r="H134">
        <v>27</v>
      </c>
      <c r="I134">
        <v>3.7</v>
      </c>
      <c r="J134">
        <v>56</v>
      </c>
      <c r="K134">
        <v>62</v>
      </c>
      <c r="L134">
        <v>12.5</v>
      </c>
      <c r="M134" t="s">
        <v>27</v>
      </c>
      <c r="N134">
        <v>20.5</v>
      </c>
      <c r="O134" t="s">
        <v>31</v>
      </c>
      <c r="P134">
        <v>14</v>
      </c>
      <c r="Q134" t="s">
        <v>25</v>
      </c>
      <c r="R134">
        <v>13.5</v>
      </c>
      <c r="S134">
        <f>YEAR(Table1[[#This Row],[Visitor Date]])</f>
        <v>2022</v>
      </c>
      <c r="T134" t="str">
        <f>TEXT(Table1[[#This Row],[Visitor Date]],"MMM")</f>
        <v>May</v>
      </c>
    </row>
    <row r="135" spans="1:20" x14ac:dyDescent="0.25">
      <c r="A135" t="s">
        <v>30</v>
      </c>
      <c r="B135">
        <v>14</v>
      </c>
      <c r="C135" t="s">
        <v>35</v>
      </c>
      <c r="D135">
        <v>15</v>
      </c>
      <c r="E135" s="1">
        <v>44703</v>
      </c>
      <c r="F135">
        <v>6</v>
      </c>
      <c r="G135">
        <v>66</v>
      </c>
      <c r="H135">
        <v>25</v>
      </c>
      <c r="I135">
        <v>3.5</v>
      </c>
      <c r="J135">
        <v>54</v>
      </c>
      <c r="K135">
        <v>52</v>
      </c>
      <c r="L135">
        <v>12</v>
      </c>
      <c r="M135" t="s">
        <v>27</v>
      </c>
      <c r="N135">
        <v>19</v>
      </c>
      <c r="O135" t="s">
        <v>31</v>
      </c>
      <c r="P135">
        <v>13</v>
      </c>
      <c r="Q135" t="s">
        <v>25</v>
      </c>
      <c r="R135">
        <v>12</v>
      </c>
      <c r="S135">
        <f>YEAR(Table1[[#This Row],[Visitor Date]])</f>
        <v>2022</v>
      </c>
      <c r="T135" t="str">
        <f>TEXT(Table1[[#This Row],[Visitor Date]],"MMM")</f>
        <v>May</v>
      </c>
    </row>
    <row r="136" spans="1:20" x14ac:dyDescent="0.25">
      <c r="A136" t="s">
        <v>32</v>
      </c>
      <c r="B136">
        <v>33</v>
      </c>
      <c r="C136" t="s">
        <v>19</v>
      </c>
      <c r="D136">
        <v>33</v>
      </c>
      <c r="E136" s="1">
        <v>44704</v>
      </c>
      <c r="F136">
        <v>20</v>
      </c>
      <c r="G136">
        <v>63</v>
      </c>
      <c r="H136">
        <v>26</v>
      </c>
      <c r="I136">
        <v>4.3</v>
      </c>
      <c r="J136">
        <v>53</v>
      </c>
      <c r="K136">
        <v>96</v>
      </c>
      <c r="L136">
        <v>15</v>
      </c>
      <c r="M136" t="s">
        <v>24</v>
      </c>
      <c r="N136">
        <v>19</v>
      </c>
      <c r="O136" t="s">
        <v>33</v>
      </c>
      <c r="P136">
        <v>14</v>
      </c>
      <c r="Q136" t="s">
        <v>34</v>
      </c>
      <c r="R136">
        <v>11</v>
      </c>
      <c r="S136">
        <f>YEAR(Table1[[#This Row],[Visitor Date]])</f>
        <v>2022</v>
      </c>
      <c r="T136" t="str">
        <f>TEXT(Table1[[#This Row],[Visitor Date]],"MMM")</f>
        <v>May</v>
      </c>
    </row>
    <row r="137" spans="1:20" x14ac:dyDescent="0.25">
      <c r="A137" t="s">
        <v>32</v>
      </c>
      <c r="B137">
        <v>33</v>
      </c>
      <c r="C137" t="s">
        <v>23</v>
      </c>
      <c r="D137">
        <v>29</v>
      </c>
      <c r="E137" s="1">
        <v>44705</v>
      </c>
      <c r="F137">
        <v>15</v>
      </c>
      <c r="G137">
        <v>59</v>
      </c>
      <c r="H137">
        <v>27</v>
      </c>
      <c r="I137">
        <v>3.9</v>
      </c>
      <c r="J137">
        <v>51</v>
      </c>
      <c r="K137">
        <v>80</v>
      </c>
      <c r="L137">
        <v>14</v>
      </c>
      <c r="M137" t="s">
        <v>24</v>
      </c>
      <c r="N137">
        <v>18</v>
      </c>
      <c r="O137" t="s">
        <v>33</v>
      </c>
      <c r="P137">
        <v>13</v>
      </c>
      <c r="Q137" t="s">
        <v>34</v>
      </c>
      <c r="R137">
        <v>10</v>
      </c>
      <c r="S137">
        <f>YEAR(Table1[[#This Row],[Visitor Date]])</f>
        <v>2022</v>
      </c>
      <c r="T137" t="str">
        <f>TEXT(Table1[[#This Row],[Visitor Date]],"MMM")</f>
        <v>May</v>
      </c>
    </row>
    <row r="138" spans="1:20" x14ac:dyDescent="0.25">
      <c r="A138" t="s">
        <v>32</v>
      </c>
      <c r="B138">
        <v>33</v>
      </c>
      <c r="C138" t="s">
        <v>35</v>
      </c>
      <c r="D138">
        <v>2</v>
      </c>
      <c r="E138" s="1">
        <v>44706</v>
      </c>
      <c r="F138">
        <v>10</v>
      </c>
      <c r="G138">
        <v>58</v>
      </c>
      <c r="H138">
        <v>28</v>
      </c>
      <c r="I138">
        <v>3.6</v>
      </c>
      <c r="J138">
        <v>48</v>
      </c>
      <c r="K138">
        <v>51</v>
      </c>
      <c r="L138">
        <v>13</v>
      </c>
      <c r="M138" t="s">
        <v>24</v>
      </c>
      <c r="N138">
        <v>16</v>
      </c>
      <c r="O138" t="s">
        <v>33</v>
      </c>
      <c r="P138">
        <v>11</v>
      </c>
      <c r="Q138" t="s">
        <v>34</v>
      </c>
      <c r="R138">
        <v>8</v>
      </c>
      <c r="S138">
        <f>YEAR(Table1[[#This Row],[Visitor Date]])</f>
        <v>2022</v>
      </c>
      <c r="T138" t="str">
        <f>TEXT(Table1[[#This Row],[Visitor Date]],"MMM")</f>
        <v>May</v>
      </c>
    </row>
    <row r="139" spans="1:20" x14ac:dyDescent="0.25">
      <c r="A139" t="s">
        <v>18</v>
      </c>
      <c r="B139">
        <v>91</v>
      </c>
      <c r="C139" t="s">
        <v>19</v>
      </c>
      <c r="D139">
        <v>54</v>
      </c>
      <c r="E139" s="1">
        <v>44707</v>
      </c>
      <c r="F139">
        <v>52</v>
      </c>
      <c r="G139">
        <v>54</v>
      </c>
      <c r="H139">
        <v>77</v>
      </c>
      <c r="I139">
        <v>4.4000000000000004</v>
      </c>
      <c r="J139">
        <v>59</v>
      </c>
      <c r="K139">
        <v>73</v>
      </c>
      <c r="L139">
        <v>16</v>
      </c>
      <c r="M139" t="s">
        <v>20</v>
      </c>
      <c r="N139">
        <v>7</v>
      </c>
      <c r="O139" t="s">
        <v>21</v>
      </c>
      <c r="P139">
        <v>15</v>
      </c>
      <c r="Q139" t="s">
        <v>22</v>
      </c>
      <c r="R139">
        <v>22</v>
      </c>
      <c r="S139">
        <f>YEAR(Table1[[#This Row],[Visitor Date]])</f>
        <v>2022</v>
      </c>
      <c r="T139" t="str">
        <f>TEXT(Table1[[#This Row],[Visitor Date]],"MMM")</f>
        <v>May</v>
      </c>
    </row>
    <row r="140" spans="1:20" x14ac:dyDescent="0.25">
      <c r="A140" t="s">
        <v>18</v>
      </c>
      <c r="B140">
        <v>91</v>
      </c>
      <c r="C140" t="s">
        <v>23</v>
      </c>
      <c r="D140">
        <v>2</v>
      </c>
      <c r="E140" s="1">
        <v>44708</v>
      </c>
      <c r="F140">
        <v>27</v>
      </c>
      <c r="G140">
        <v>56</v>
      </c>
      <c r="H140">
        <v>70</v>
      </c>
      <c r="I140">
        <v>3.8</v>
      </c>
      <c r="J140">
        <v>58</v>
      </c>
      <c r="K140">
        <v>58</v>
      </c>
      <c r="L140">
        <v>14</v>
      </c>
      <c r="M140" t="s">
        <v>20</v>
      </c>
      <c r="N140">
        <v>6</v>
      </c>
      <c r="O140" t="s">
        <v>21</v>
      </c>
      <c r="P140">
        <v>14</v>
      </c>
      <c r="Q140" t="s">
        <v>22</v>
      </c>
      <c r="R140">
        <v>21</v>
      </c>
      <c r="S140">
        <f>YEAR(Table1[[#This Row],[Visitor Date]])</f>
        <v>2022</v>
      </c>
      <c r="T140" t="str">
        <f>TEXT(Table1[[#This Row],[Visitor Date]],"MMM")</f>
        <v>May</v>
      </c>
    </row>
    <row r="141" spans="1:20" x14ac:dyDescent="0.25">
      <c r="A141" t="s">
        <v>18</v>
      </c>
      <c r="B141">
        <v>91</v>
      </c>
      <c r="C141" t="s">
        <v>35</v>
      </c>
      <c r="D141">
        <v>7</v>
      </c>
      <c r="E141" s="1">
        <v>44709</v>
      </c>
      <c r="F141">
        <v>12</v>
      </c>
      <c r="G141">
        <v>58</v>
      </c>
      <c r="H141">
        <v>65</v>
      </c>
      <c r="I141">
        <v>3.4</v>
      </c>
      <c r="J141">
        <v>56</v>
      </c>
      <c r="K141">
        <v>45</v>
      </c>
      <c r="L141">
        <v>13</v>
      </c>
      <c r="M141" t="s">
        <v>20</v>
      </c>
      <c r="N141">
        <v>5.5</v>
      </c>
      <c r="O141" t="s">
        <v>21</v>
      </c>
      <c r="P141">
        <v>12</v>
      </c>
      <c r="Q141" t="s">
        <v>22</v>
      </c>
      <c r="R141">
        <v>19</v>
      </c>
      <c r="S141">
        <f>YEAR(Table1[[#This Row],[Visitor Date]])</f>
        <v>2022</v>
      </c>
      <c r="T141" t="str">
        <f>TEXT(Table1[[#This Row],[Visitor Date]],"MMM")</f>
        <v>May</v>
      </c>
    </row>
    <row r="142" spans="1:20" x14ac:dyDescent="0.25">
      <c r="A142" t="s">
        <v>24</v>
      </c>
      <c r="B142">
        <v>44</v>
      </c>
      <c r="C142" t="s">
        <v>19</v>
      </c>
      <c r="D142">
        <v>42</v>
      </c>
      <c r="E142" s="1">
        <v>44710</v>
      </c>
      <c r="F142">
        <v>45</v>
      </c>
      <c r="G142">
        <v>89</v>
      </c>
      <c r="H142">
        <v>45</v>
      </c>
      <c r="I142">
        <v>3.2</v>
      </c>
      <c r="J142">
        <v>45</v>
      </c>
      <c r="K142">
        <v>31</v>
      </c>
      <c r="L142">
        <v>17</v>
      </c>
      <c r="M142" t="s">
        <v>24</v>
      </c>
      <c r="N142">
        <v>26</v>
      </c>
      <c r="O142" t="s">
        <v>21</v>
      </c>
      <c r="P142">
        <v>7</v>
      </c>
      <c r="Q142" t="s">
        <v>25</v>
      </c>
      <c r="R142">
        <v>7</v>
      </c>
      <c r="S142">
        <f>YEAR(Table1[[#This Row],[Visitor Date]])</f>
        <v>2022</v>
      </c>
      <c r="T142" t="str">
        <f>TEXT(Table1[[#This Row],[Visitor Date]],"MMM")</f>
        <v>May</v>
      </c>
    </row>
    <row r="143" spans="1:20" x14ac:dyDescent="0.25">
      <c r="A143" t="s">
        <v>24</v>
      </c>
      <c r="B143">
        <v>44</v>
      </c>
      <c r="C143" t="s">
        <v>23</v>
      </c>
      <c r="D143">
        <v>139</v>
      </c>
      <c r="E143" s="1">
        <v>44711</v>
      </c>
      <c r="F143">
        <v>38</v>
      </c>
      <c r="G143">
        <v>85</v>
      </c>
      <c r="H143">
        <v>40</v>
      </c>
      <c r="I143">
        <v>2.9</v>
      </c>
      <c r="J143">
        <v>44</v>
      </c>
      <c r="K143">
        <v>27</v>
      </c>
      <c r="L143">
        <v>16</v>
      </c>
      <c r="M143" t="s">
        <v>24</v>
      </c>
      <c r="N143">
        <v>25</v>
      </c>
      <c r="O143" t="s">
        <v>21</v>
      </c>
      <c r="P143">
        <v>6.5</v>
      </c>
      <c r="Q143" t="s">
        <v>25</v>
      </c>
      <c r="R143">
        <v>6.5</v>
      </c>
      <c r="S143">
        <f>YEAR(Table1[[#This Row],[Visitor Date]])</f>
        <v>2022</v>
      </c>
      <c r="T143" t="str">
        <f>TEXT(Table1[[#This Row],[Visitor Date]],"MMM")</f>
        <v>May</v>
      </c>
    </row>
    <row r="144" spans="1:20" x14ac:dyDescent="0.25">
      <c r="A144" t="s">
        <v>24</v>
      </c>
      <c r="B144">
        <v>44</v>
      </c>
      <c r="C144" t="s">
        <v>35</v>
      </c>
      <c r="D144">
        <v>22</v>
      </c>
      <c r="E144" s="1">
        <v>44712</v>
      </c>
      <c r="F144">
        <v>25</v>
      </c>
      <c r="G144">
        <v>83</v>
      </c>
      <c r="H144">
        <v>35</v>
      </c>
      <c r="I144">
        <v>3</v>
      </c>
      <c r="J144">
        <v>43</v>
      </c>
      <c r="K144">
        <v>78</v>
      </c>
      <c r="L144">
        <v>15</v>
      </c>
      <c r="M144" t="s">
        <v>24</v>
      </c>
      <c r="N144">
        <v>23</v>
      </c>
      <c r="O144" t="s">
        <v>21</v>
      </c>
      <c r="P144">
        <v>7</v>
      </c>
      <c r="Q144" t="s">
        <v>25</v>
      </c>
      <c r="R144">
        <v>5</v>
      </c>
      <c r="S144">
        <f>YEAR(Table1[[#This Row],[Visitor Date]])</f>
        <v>2022</v>
      </c>
      <c r="T144" t="str">
        <f>TEXT(Table1[[#This Row],[Visitor Date]],"MMM")</f>
        <v>May</v>
      </c>
    </row>
    <row r="145" spans="1:20" x14ac:dyDescent="0.25">
      <c r="A145" t="s">
        <v>30</v>
      </c>
      <c r="B145">
        <v>14</v>
      </c>
      <c r="C145" t="s">
        <v>19</v>
      </c>
      <c r="D145">
        <v>119</v>
      </c>
      <c r="E145" s="1">
        <v>44713</v>
      </c>
      <c r="F145">
        <v>17</v>
      </c>
      <c r="G145">
        <v>70.63</v>
      </c>
      <c r="H145">
        <v>42</v>
      </c>
      <c r="I145">
        <v>4.2</v>
      </c>
      <c r="J145">
        <v>60</v>
      </c>
      <c r="K145">
        <v>96</v>
      </c>
      <c r="L145">
        <v>14.5</v>
      </c>
      <c r="M145" t="s">
        <v>27</v>
      </c>
      <c r="N145">
        <v>21</v>
      </c>
      <c r="O145" t="s">
        <v>31</v>
      </c>
      <c r="P145">
        <v>16</v>
      </c>
      <c r="Q145" t="s">
        <v>25</v>
      </c>
      <c r="R145">
        <v>15.5</v>
      </c>
      <c r="S145">
        <f>YEAR(Table1[[#This Row],[Visitor Date]])</f>
        <v>2022</v>
      </c>
      <c r="T145" t="str">
        <f>TEXT(Table1[[#This Row],[Visitor Date]],"MMM")</f>
        <v>Jun</v>
      </c>
    </row>
    <row r="146" spans="1:20" x14ac:dyDescent="0.25">
      <c r="A146" t="s">
        <v>30</v>
      </c>
      <c r="B146">
        <v>14</v>
      </c>
      <c r="C146" t="s">
        <v>23</v>
      </c>
      <c r="D146">
        <v>116</v>
      </c>
      <c r="E146" s="1">
        <v>44714</v>
      </c>
      <c r="F146">
        <v>9</v>
      </c>
      <c r="G146">
        <v>67</v>
      </c>
      <c r="H146">
        <v>27</v>
      </c>
      <c r="I146">
        <v>3.7</v>
      </c>
      <c r="J146">
        <v>56</v>
      </c>
      <c r="K146">
        <v>62</v>
      </c>
      <c r="L146">
        <v>12.5</v>
      </c>
      <c r="M146" t="s">
        <v>27</v>
      </c>
      <c r="N146">
        <v>20.5</v>
      </c>
      <c r="O146" t="s">
        <v>31</v>
      </c>
      <c r="P146">
        <v>14</v>
      </c>
      <c r="Q146" t="s">
        <v>25</v>
      </c>
      <c r="R146">
        <v>13.5</v>
      </c>
      <c r="S146">
        <f>YEAR(Table1[[#This Row],[Visitor Date]])</f>
        <v>2022</v>
      </c>
      <c r="T146" t="str">
        <f>TEXT(Table1[[#This Row],[Visitor Date]],"MMM")</f>
        <v>Jun</v>
      </c>
    </row>
    <row r="147" spans="1:20" x14ac:dyDescent="0.25">
      <c r="A147" t="s">
        <v>30</v>
      </c>
      <c r="B147">
        <v>14</v>
      </c>
      <c r="C147" t="s">
        <v>35</v>
      </c>
      <c r="D147">
        <v>122</v>
      </c>
      <c r="E147" s="1">
        <v>44715</v>
      </c>
      <c r="F147">
        <v>6</v>
      </c>
      <c r="G147">
        <v>66</v>
      </c>
      <c r="H147">
        <v>25</v>
      </c>
      <c r="I147">
        <v>3.5</v>
      </c>
      <c r="J147">
        <v>54</v>
      </c>
      <c r="K147">
        <v>52</v>
      </c>
      <c r="L147">
        <v>12</v>
      </c>
      <c r="M147" t="s">
        <v>27</v>
      </c>
      <c r="N147">
        <v>19</v>
      </c>
      <c r="O147" t="s">
        <v>31</v>
      </c>
      <c r="P147">
        <v>13</v>
      </c>
      <c r="Q147" t="s">
        <v>25</v>
      </c>
      <c r="R147">
        <v>12</v>
      </c>
      <c r="S147">
        <f>YEAR(Table1[[#This Row],[Visitor Date]])</f>
        <v>2022</v>
      </c>
      <c r="T147" t="str">
        <f>TEXT(Table1[[#This Row],[Visitor Date]],"MMM")</f>
        <v>Jun</v>
      </c>
    </row>
    <row r="148" spans="1:20" x14ac:dyDescent="0.25">
      <c r="A148" t="s">
        <v>32</v>
      </c>
      <c r="B148">
        <v>33</v>
      </c>
      <c r="C148" t="s">
        <v>19</v>
      </c>
      <c r="D148">
        <v>34</v>
      </c>
      <c r="E148" s="1">
        <v>44716</v>
      </c>
      <c r="F148">
        <v>20</v>
      </c>
      <c r="G148">
        <v>63</v>
      </c>
      <c r="H148">
        <v>26</v>
      </c>
      <c r="I148">
        <v>4.3</v>
      </c>
      <c r="J148">
        <v>53</v>
      </c>
      <c r="K148">
        <v>96</v>
      </c>
      <c r="L148">
        <v>15</v>
      </c>
      <c r="M148" t="s">
        <v>24</v>
      </c>
      <c r="N148">
        <v>19</v>
      </c>
      <c r="O148" t="s">
        <v>33</v>
      </c>
      <c r="P148">
        <v>14</v>
      </c>
      <c r="Q148" t="s">
        <v>34</v>
      </c>
      <c r="R148">
        <v>11</v>
      </c>
      <c r="S148">
        <f>YEAR(Table1[[#This Row],[Visitor Date]])</f>
        <v>2022</v>
      </c>
      <c r="T148" t="str">
        <f>TEXT(Table1[[#This Row],[Visitor Date]],"MMM")</f>
        <v>Jun</v>
      </c>
    </row>
    <row r="149" spans="1:20" x14ac:dyDescent="0.25">
      <c r="A149" t="s">
        <v>32</v>
      </c>
      <c r="B149">
        <v>33</v>
      </c>
      <c r="C149" t="s">
        <v>23</v>
      </c>
      <c r="D149">
        <v>30</v>
      </c>
      <c r="E149" s="1">
        <v>44717</v>
      </c>
      <c r="F149">
        <v>15</v>
      </c>
      <c r="G149">
        <v>59</v>
      </c>
      <c r="H149">
        <v>27</v>
      </c>
      <c r="I149">
        <v>3.9</v>
      </c>
      <c r="J149">
        <v>51</v>
      </c>
      <c r="K149">
        <v>80</v>
      </c>
      <c r="L149">
        <v>14</v>
      </c>
      <c r="M149" t="s">
        <v>24</v>
      </c>
      <c r="N149">
        <v>18</v>
      </c>
      <c r="O149" t="s">
        <v>33</v>
      </c>
      <c r="P149">
        <v>13</v>
      </c>
      <c r="Q149" t="s">
        <v>34</v>
      </c>
      <c r="R149">
        <v>10</v>
      </c>
      <c r="S149">
        <f>YEAR(Table1[[#This Row],[Visitor Date]])</f>
        <v>2022</v>
      </c>
      <c r="T149" t="str">
        <f>TEXT(Table1[[#This Row],[Visitor Date]],"MMM")</f>
        <v>Jun</v>
      </c>
    </row>
    <row r="150" spans="1:20" x14ac:dyDescent="0.25">
      <c r="A150" t="s">
        <v>32</v>
      </c>
      <c r="B150">
        <v>33</v>
      </c>
      <c r="C150" t="s">
        <v>35</v>
      </c>
      <c r="D150">
        <v>4</v>
      </c>
      <c r="E150" s="1">
        <v>44718</v>
      </c>
      <c r="F150">
        <v>10</v>
      </c>
      <c r="G150">
        <v>58</v>
      </c>
      <c r="H150">
        <v>28</v>
      </c>
      <c r="I150">
        <v>3.6</v>
      </c>
      <c r="J150">
        <v>48</v>
      </c>
      <c r="K150">
        <v>51</v>
      </c>
      <c r="L150">
        <v>13</v>
      </c>
      <c r="M150" t="s">
        <v>24</v>
      </c>
      <c r="N150">
        <v>16</v>
      </c>
      <c r="O150" t="s">
        <v>33</v>
      </c>
      <c r="P150">
        <v>11</v>
      </c>
      <c r="Q150" t="s">
        <v>34</v>
      </c>
      <c r="R150">
        <v>8</v>
      </c>
      <c r="S150">
        <f>YEAR(Table1[[#This Row],[Visitor Date]])</f>
        <v>2022</v>
      </c>
      <c r="T150" t="str">
        <f>TEXT(Table1[[#This Row],[Visitor Date]],"MMM")</f>
        <v>Jun</v>
      </c>
    </row>
    <row r="151" spans="1:20" x14ac:dyDescent="0.25">
      <c r="A151" t="s">
        <v>18</v>
      </c>
      <c r="B151">
        <v>91</v>
      </c>
      <c r="C151" t="s">
        <v>19</v>
      </c>
      <c r="D151">
        <v>55</v>
      </c>
      <c r="E151" s="1">
        <v>44719</v>
      </c>
      <c r="F151">
        <v>52</v>
      </c>
      <c r="G151">
        <v>54</v>
      </c>
      <c r="H151">
        <v>77</v>
      </c>
      <c r="I151">
        <v>4.4000000000000004</v>
      </c>
      <c r="J151">
        <v>59</v>
      </c>
      <c r="K151">
        <v>73</v>
      </c>
      <c r="L151">
        <v>16</v>
      </c>
      <c r="M151" t="s">
        <v>20</v>
      </c>
      <c r="N151">
        <v>7</v>
      </c>
      <c r="O151" t="s">
        <v>21</v>
      </c>
      <c r="P151">
        <v>15</v>
      </c>
      <c r="Q151" t="s">
        <v>22</v>
      </c>
      <c r="R151">
        <v>22</v>
      </c>
      <c r="S151">
        <f>YEAR(Table1[[#This Row],[Visitor Date]])</f>
        <v>2022</v>
      </c>
      <c r="T151" t="str">
        <f>TEXT(Table1[[#This Row],[Visitor Date]],"MMM")</f>
        <v>Jun</v>
      </c>
    </row>
    <row r="152" spans="1:20" x14ac:dyDescent="0.25">
      <c r="A152" t="s">
        <v>18</v>
      </c>
      <c r="B152">
        <v>91</v>
      </c>
      <c r="C152" t="s">
        <v>23</v>
      </c>
      <c r="D152">
        <v>84</v>
      </c>
      <c r="E152" s="1">
        <v>44720</v>
      </c>
      <c r="F152">
        <v>27</v>
      </c>
      <c r="G152">
        <v>56</v>
      </c>
      <c r="H152">
        <v>70</v>
      </c>
      <c r="I152">
        <v>3.8</v>
      </c>
      <c r="J152">
        <v>58</v>
      </c>
      <c r="K152">
        <v>58</v>
      </c>
      <c r="L152">
        <v>14</v>
      </c>
      <c r="M152" t="s">
        <v>20</v>
      </c>
      <c r="N152">
        <v>6</v>
      </c>
      <c r="O152" t="s">
        <v>21</v>
      </c>
      <c r="P152">
        <v>14</v>
      </c>
      <c r="Q152" t="s">
        <v>22</v>
      </c>
      <c r="R152">
        <v>21</v>
      </c>
      <c r="S152">
        <f>YEAR(Table1[[#This Row],[Visitor Date]])</f>
        <v>2022</v>
      </c>
      <c r="T152" t="str">
        <f>TEXT(Table1[[#This Row],[Visitor Date]],"MMM")</f>
        <v>Jun</v>
      </c>
    </row>
    <row r="153" spans="1:20" x14ac:dyDescent="0.25">
      <c r="A153" t="s">
        <v>18</v>
      </c>
      <c r="B153">
        <v>91</v>
      </c>
      <c r="C153" t="s">
        <v>35</v>
      </c>
      <c r="D153">
        <v>88</v>
      </c>
      <c r="E153" s="1">
        <v>44721</v>
      </c>
      <c r="F153">
        <v>12</v>
      </c>
      <c r="G153">
        <v>58</v>
      </c>
      <c r="H153">
        <v>65</v>
      </c>
      <c r="I153">
        <v>3.4</v>
      </c>
      <c r="J153">
        <v>5</v>
      </c>
      <c r="K153">
        <v>45</v>
      </c>
      <c r="L153">
        <v>13</v>
      </c>
      <c r="M153" t="s">
        <v>20</v>
      </c>
      <c r="N153">
        <v>5.5</v>
      </c>
      <c r="O153" t="s">
        <v>21</v>
      </c>
      <c r="P153">
        <v>12</v>
      </c>
      <c r="Q153" t="s">
        <v>22</v>
      </c>
      <c r="R153">
        <v>19</v>
      </c>
      <c r="S153">
        <f>YEAR(Table1[[#This Row],[Visitor Date]])</f>
        <v>2022</v>
      </c>
      <c r="T153" t="str">
        <f>TEXT(Table1[[#This Row],[Visitor Date]],"MMM")</f>
        <v>Jun</v>
      </c>
    </row>
    <row r="154" spans="1:20" x14ac:dyDescent="0.25">
      <c r="A154" t="s">
        <v>24</v>
      </c>
      <c r="B154">
        <v>44</v>
      </c>
      <c r="C154" t="s">
        <v>19</v>
      </c>
      <c r="D154">
        <v>43</v>
      </c>
      <c r="E154" s="1">
        <v>44722</v>
      </c>
      <c r="F154">
        <v>45</v>
      </c>
      <c r="G154">
        <v>89</v>
      </c>
      <c r="H154">
        <v>45</v>
      </c>
      <c r="I154">
        <v>3.2</v>
      </c>
      <c r="J154">
        <v>45</v>
      </c>
      <c r="K154">
        <v>31</v>
      </c>
      <c r="L154">
        <v>17</v>
      </c>
      <c r="M154" t="s">
        <v>24</v>
      </c>
      <c r="N154">
        <v>26</v>
      </c>
      <c r="O154" t="s">
        <v>21</v>
      </c>
      <c r="P154">
        <v>7</v>
      </c>
      <c r="Q154" t="s">
        <v>25</v>
      </c>
      <c r="R154">
        <v>7</v>
      </c>
      <c r="S154">
        <f>YEAR(Table1[[#This Row],[Visitor Date]])</f>
        <v>2022</v>
      </c>
      <c r="T154" t="str">
        <f>TEXT(Table1[[#This Row],[Visitor Date]],"MMM")</f>
        <v>Jun</v>
      </c>
    </row>
    <row r="155" spans="1:20" x14ac:dyDescent="0.25">
      <c r="A155" t="s">
        <v>24</v>
      </c>
      <c r="B155">
        <v>44</v>
      </c>
      <c r="C155" t="s">
        <v>23</v>
      </c>
      <c r="D155">
        <v>137</v>
      </c>
      <c r="E155" s="1">
        <v>44723</v>
      </c>
      <c r="F155">
        <v>38</v>
      </c>
      <c r="G155">
        <v>85</v>
      </c>
      <c r="H155">
        <v>40</v>
      </c>
      <c r="I155">
        <v>2.9</v>
      </c>
      <c r="J155">
        <v>44</v>
      </c>
      <c r="K155">
        <v>27</v>
      </c>
      <c r="L155">
        <v>16</v>
      </c>
      <c r="M155" t="s">
        <v>24</v>
      </c>
      <c r="N155">
        <v>25</v>
      </c>
      <c r="O155" t="s">
        <v>21</v>
      </c>
      <c r="P155">
        <v>6.5</v>
      </c>
      <c r="Q155" t="s">
        <v>25</v>
      </c>
      <c r="R155">
        <v>6.5</v>
      </c>
      <c r="S155">
        <f>YEAR(Table1[[#This Row],[Visitor Date]])</f>
        <v>2022</v>
      </c>
      <c r="T155" t="str">
        <f>TEXT(Table1[[#This Row],[Visitor Date]],"MMM")</f>
        <v>Jun</v>
      </c>
    </row>
    <row r="156" spans="1:20" x14ac:dyDescent="0.25">
      <c r="A156" t="s">
        <v>24</v>
      </c>
      <c r="B156">
        <v>44</v>
      </c>
      <c r="C156" t="s">
        <v>35</v>
      </c>
      <c r="D156">
        <v>20</v>
      </c>
      <c r="E156" s="1">
        <v>44724</v>
      </c>
      <c r="F156">
        <v>25</v>
      </c>
      <c r="G156">
        <v>83</v>
      </c>
      <c r="H156">
        <v>35</v>
      </c>
      <c r="I156">
        <v>3</v>
      </c>
      <c r="J156">
        <v>43</v>
      </c>
      <c r="K156">
        <v>78</v>
      </c>
      <c r="L156">
        <v>15</v>
      </c>
      <c r="M156" t="s">
        <v>24</v>
      </c>
      <c r="N156">
        <v>23</v>
      </c>
      <c r="O156" t="s">
        <v>21</v>
      </c>
      <c r="P156">
        <v>7</v>
      </c>
      <c r="Q156" t="s">
        <v>25</v>
      </c>
      <c r="R156">
        <v>5</v>
      </c>
      <c r="S156">
        <f>YEAR(Table1[[#This Row],[Visitor Date]])</f>
        <v>2022</v>
      </c>
      <c r="T156" t="str">
        <f>TEXT(Table1[[#This Row],[Visitor Date]],"MMM")</f>
        <v>Jun</v>
      </c>
    </row>
    <row r="157" spans="1:20" x14ac:dyDescent="0.25">
      <c r="A157" t="s">
        <v>26</v>
      </c>
      <c r="B157">
        <v>26</v>
      </c>
      <c r="C157" t="s">
        <v>19</v>
      </c>
      <c r="D157">
        <v>35</v>
      </c>
      <c r="E157" s="1">
        <v>44725</v>
      </c>
      <c r="F157">
        <v>10</v>
      </c>
      <c r="G157">
        <v>5.5</v>
      </c>
      <c r="H157">
        <v>76</v>
      </c>
      <c r="I157">
        <v>3.5</v>
      </c>
      <c r="J157">
        <v>48</v>
      </c>
      <c r="K157">
        <v>33</v>
      </c>
      <c r="L157">
        <v>6.5</v>
      </c>
      <c r="M157" t="s">
        <v>27</v>
      </c>
      <c r="N157">
        <v>22</v>
      </c>
      <c r="O157" t="s">
        <v>21</v>
      </c>
      <c r="P157">
        <v>15</v>
      </c>
      <c r="Q157" t="s">
        <v>22</v>
      </c>
      <c r="R157">
        <v>12</v>
      </c>
      <c r="S157">
        <f>YEAR(Table1[[#This Row],[Visitor Date]])</f>
        <v>2022</v>
      </c>
      <c r="T157" t="str">
        <f>TEXT(Table1[[#This Row],[Visitor Date]],"MMM")</f>
        <v>Jun</v>
      </c>
    </row>
    <row r="158" spans="1:20" x14ac:dyDescent="0.25">
      <c r="A158" t="s">
        <v>26</v>
      </c>
      <c r="B158">
        <v>26</v>
      </c>
      <c r="C158" t="s">
        <v>23</v>
      </c>
      <c r="D158">
        <v>29</v>
      </c>
      <c r="E158" s="1">
        <v>44726</v>
      </c>
      <c r="F158">
        <v>12</v>
      </c>
      <c r="G158">
        <v>6</v>
      </c>
      <c r="H158">
        <v>75</v>
      </c>
      <c r="I158">
        <v>3.1</v>
      </c>
      <c r="J158">
        <v>45</v>
      </c>
      <c r="K158">
        <v>28</v>
      </c>
      <c r="L158">
        <v>5</v>
      </c>
      <c r="M158" t="s">
        <v>27</v>
      </c>
      <c r="N158">
        <v>21</v>
      </c>
      <c r="O158" t="s">
        <v>21</v>
      </c>
      <c r="P158">
        <v>14</v>
      </c>
      <c r="Q158" t="s">
        <v>22</v>
      </c>
      <c r="R158">
        <v>11</v>
      </c>
      <c r="S158">
        <f>YEAR(Table1[[#This Row],[Visitor Date]])</f>
        <v>2022</v>
      </c>
      <c r="T158" t="str">
        <f>TEXT(Table1[[#This Row],[Visitor Date]],"MMM")</f>
        <v>Jun</v>
      </c>
    </row>
    <row r="159" spans="1:20" x14ac:dyDescent="0.25">
      <c r="A159" t="s">
        <v>26</v>
      </c>
      <c r="B159">
        <v>26</v>
      </c>
      <c r="C159" t="s">
        <v>35</v>
      </c>
      <c r="D159">
        <v>114</v>
      </c>
      <c r="E159" s="1">
        <v>44727</v>
      </c>
      <c r="F159">
        <v>8</v>
      </c>
      <c r="G159">
        <v>6.5</v>
      </c>
      <c r="H159">
        <v>70</v>
      </c>
      <c r="I159">
        <v>3</v>
      </c>
      <c r="J159">
        <v>42</v>
      </c>
      <c r="K159">
        <v>69</v>
      </c>
      <c r="L159">
        <v>4.5</v>
      </c>
      <c r="M159" t="s">
        <v>27</v>
      </c>
      <c r="N159">
        <v>20</v>
      </c>
      <c r="O159" t="s">
        <v>21</v>
      </c>
      <c r="P159">
        <v>12</v>
      </c>
      <c r="Q159" t="s">
        <v>22</v>
      </c>
      <c r="R159">
        <v>10</v>
      </c>
      <c r="S159">
        <f>YEAR(Table1[[#This Row],[Visitor Date]])</f>
        <v>2022</v>
      </c>
      <c r="T159" t="str">
        <f>TEXT(Table1[[#This Row],[Visitor Date]],"MMM")</f>
        <v>Jun</v>
      </c>
    </row>
    <row r="160" spans="1:20" x14ac:dyDescent="0.25">
      <c r="A160" t="s">
        <v>18</v>
      </c>
      <c r="B160">
        <v>91</v>
      </c>
      <c r="C160" t="s">
        <v>19</v>
      </c>
      <c r="D160">
        <v>60</v>
      </c>
      <c r="E160" s="1">
        <v>44728</v>
      </c>
      <c r="F160">
        <v>47</v>
      </c>
      <c r="G160">
        <v>54.88</v>
      </c>
      <c r="H160">
        <v>77</v>
      </c>
      <c r="I160">
        <v>4.4000000000000004</v>
      </c>
      <c r="J160">
        <v>61.5</v>
      </c>
      <c r="K160">
        <v>76</v>
      </c>
      <c r="L160">
        <v>17.100000000000001</v>
      </c>
      <c r="M160" t="s">
        <v>20</v>
      </c>
      <c r="N160">
        <v>6.2</v>
      </c>
      <c r="O160" t="s">
        <v>21</v>
      </c>
      <c r="P160">
        <v>17.399999999999999</v>
      </c>
      <c r="Q160" t="s">
        <v>22</v>
      </c>
      <c r="R160">
        <v>22.2</v>
      </c>
      <c r="S160">
        <f>YEAR(Table1[[#This Row],[Visitor Date]])</f>
        <v>2022</v>
      </c>
      <c r="T160" t="str">
        <f>TEXT(Table1[[#This Row],[Visitor Date]],"MMM")</f>
        <v>Jun</v>
      </c>
    </row>
    <row r="161" spans="1:20" x14ac:dyDescent="0.25">
      <c r="A161" t="s">
        <v>24</v>
      </c>
      <c r="B161">
        <v>44</v>
      </c>
      <c r="C161" t="s">
        <v>23</v>
      </c>
      <c r="D161">
        <v>66</v>
      </c>
      <c r="E161" s="1">
        <v>44729</v>
      </c>
      <c r="F161">
        <v>44</v>
      </c>
      <c r="G161">
        <v>91.47</v>
      </c>
      <c r="H161">
        <v>49</v>
      </c>
      <c r="I161">
        <v>2.7</v>
      </c>
      <c r="J161">
        <v>47.8</v>
      </c>
      <c r="K161">
        <v>37</v>
      </c>
      <c r="L161">
        <v>18</v>
      </c>
      <c r="M161" t="s">
        <v>24</v>
      </c>
      <c r="N161">
        <v>27.5</v>
      </c>
      <c r="O161" t="s">
        <v>21</v>
      </c>
      <c r="P161">
        <v>8.1</v>
      </c>
      <c r="Q161" t="s">
        <v>25</v>
      </c>
      <c r="R161">
        <v>6.9</v>
      </c>
      <c r="S161">
        <f>YEAR(Table1[[#This Row],[Visitor Date]])</f>
        <v>2022</v>
      </c>
      <c r="T161" t="str">
        <f>TEXT(Table1[[#This Row],[Visitor Date]],"MMM")</f>
        <v>Jun</v>
      </c>
    </row>
    <row r="162" spans="1:20" x14ac:dyDescent="0.25">
      <c r="A162" t="s">
        <v>26</v>
      </c>
      <c r="B162">
        <v>26</v>
      </c>
      <c r="C162" t="s">
        <v>19</v>
      </c>
      <c r="D162">
        <v>53</v>
      </c>
      <c r="E162" s="1">
        <v>44730</v>
      </c>
      <c r="F162">
        <v>8</v>
      </c>
      <c r="G162">
        <v>6.04</v>
      </c>
      <c r="H162">
        <v>78</v>
      </c>
      <c r="I162">
        <v>3.2</v>
      </c>
      <c r="J162">
        <v>48.7</v>
      </c>
      <c r="K162">
        <v>39</v>
      </c>
      <c r="L162">
        <v>5.8</v>
      </c>
      <c r="M162" t="s">
        <v>27</v>
      </c>
      <c r="N162">
        <v>23.6</v>
      </c>
      <c r="O162" t="s">
        <v>21</v>
      </c>
      <c r="P162">
        <v>18.399999999999999</v>
      </c>
      <c r="Q162" t="s">
        <v>22</v>
      </c>
      <c r="R162">
        <v>11.6</v>
      </c>
      <c r="S162">
        <f>YEAR(Table1[[#This Row],[Visitor Date]])</f>
        <v>2022</v>
      </c>
      <c r="T162" t="str">
        <f>TEXT(Table1[[#This Row],[Visitor Date]],"MMM")</f>
        <v>Jun</v>
      </c>
    </row>
    <row r="163" spans="1:20" x14ac:dyDescent="0.25">
      <c r="A163" t="s">
        <v>28</v>
      </c>
      <c r="B163">
        <v>68</v>
      </c>
      <c r="C163" t="s">
        <v>23</v>
      </c>
      <c r="D163">
        <v>64</v>
      </c>
      <c r="E163" s="1">
        <v>44731</v>
      </c>
      <c r="F163">
        <v>11</v>
      </c>
      <c r="G163">
        <v>90</v>
      </c>
      <c r="H163">
        <v>54</v>
      </c>
      <c r="I163">
        <v>3.3</v>
      </c>
      <c r="J163">
        <v>7.8</v>
      </c>
      <c r="K163">
        <v>38</v>
      </c>
      <c r="L163">
        <v>11</v>
      </c>
      <c r="M163" t="s">
        <v>20</v>
      </c>
      <c r="N163">
        <v>5.3</v>
      </c>
      <c r="O163" t="s">
        <v>29</v>
      </c>
      <c r="P163">
        <v>20.5</v>
      </c>
      <c r="Q163" t="s">
        <v>25</v>
      </c>
      <c r="R163">
        <v>19.5</v>
      </c>
      <c r="S163">
        <f>YEAR(Table1[[#This Row],[Visitor Date]])</f>
        <v>2022</v>
      </c>
      <c r="T163" t="str">
        <f>TEXT(Table1[[#This Row],[Visitor Date]],"MMM")</f>
        <v>Jun</v>
      </c>
    </row>
    <row r="164" spans="1:20" x14ac:dyDescent="0.25">
      <c r="A164" t="s">
        <v>30</v>
      </c>
      <c r="B164">
        <v>14</v>
      </c>
      <c r="C164" t="s">
        <v>23</v>
      </c>
      <c r="D164">
        <v>2</v>
      </c>
      <c r="E164" s="1">
        <v>44732</v>
      </c>
      <c r="F164">
        <v>14</v>
      </c>
      <c r="G164">
        <v>70.63</v>
      </c>
      <c r="H164">
        <v>41</v>
      </c>
      <c r="I164">
        <v>3.9</v>
      </c>
      <c r="J164">
        <v>59.4</v>
      </c>
      <c r="K164">
        <v>25</v>
      </c>
      <c r="L164">
        <v>15.6</v>
      </c>
      <c r="M164" t="s">
        <v>27</v>
      </c>
      <c r="N164">
        <v>23.7</v>
      </c>
      <c r="O164" t="s">
        <v>31</v>
      </c>
      <c r="P164">
        <v>15.6</v>
      </c>
      <c r="Q164" t="s">
        <v>25</v>
      </c>
      <c r="R164">
        <v>15.1</v>
      </c>
      <c r="S164">
        <f>YEAR(Table1[[#This Row],[Visitor Date]])</f>
        <v>2022</v>
      </c>
      <c r="T164" t="str">
        <f>TEXT(Table1[[#This Row],[Visitor Date]],"MMM")</f>
        <v>Jun</v>
      </c>
    </row>
    <row r="165" spans="1:20" x14ac:dyDescent="0.25">
      <c r="A165" t="s">
        <v>18</v>
      </c>
      <c r="B165">
        <v>91</v>
      </c>
      <c r="C165" t="s">
        <v>19</v>
      </c>
      <c r="D165">
        <v>157</v>
      </c>
      <c r="E165" s="1">
        <v>44733</v>
      </c>
      <c r="F165">
        <v>52</v>
      </c>
      <c r="G165">
        <v>54</v>
      </c>
      <c r="H165">
        <v>77</v>
      </c>
      <c r="I165">
        <v>4.5999999999999996</v>
      </c>
      <c r="J165">
        <v>58</v>
      </c>
      <c r="K165">
        <v>73</v>
      </c>
      <c r="L165">
        <v>17</v>
      </c>
      <c r="M165" t="s">
        <v>20</v>
      </c>
      <c r="N165">
        <v>8</v>
      </c>
      <c r="O165" t="s">
        <v>21</v>
      </c>
      <c r="P165">
        <v>16</v>
      </c>
      <c r="Q165" t="s">
        <v>22</v>
      </c>
      <c r="R165">
        <v>23</v>
      </c>
      <c r="S165">
        <f>YEAR(Table1[[#This Row],[Visitor Date]])</f>
        <v>2022</v>
      </c>
      <c r="T165" t="str">
        <f>TEXT(Table1[[#This Row],[Visitor Date]],"MMM")</f>
        <v>Jun</v>
      </c>
    </row>
    <row r="166" spans="1:20" x14ac:dyDescent="0.25">
      <c r="A166" t="s">
        <v>24</v>
      </c>
      <c r="B166">
        <v>44</v>
      </c>
      <c r="C166" t="s">
        <v>19</v>
      </c>
      <c r="D166">
        <v>129</v>
      </c>
      <c r="E166" s="1">
        <v>44734</v>
      </c>
      <c r="F166">
        <v>45</v>
      </c>
      <c r="G166">
        <v>89</v>
      </c>
      <c r="H166">
        <v>47</v>
      </c>
      <c r="I166">
        <v>3.3</v>
      </c>
      <c r="J166">
        <v>45</v>
      </c>
      <c r="K166">
        <v>32</v>
      </c>
      <c r="L166">
        <v>18</v>
      </c>
      <c r="M166" t="s">
        <v>24</v>
      </c>
      <c r="N166">
        <v>27.5</v>
      </c>
      <c r="O166" t="s">
        <v>21</v>
      </c>
      <c r="P166">
        <v>9.5</v>
      </c>
      <c r="Q166" t="s">
        <v>25</v>
      </c>
      <c r="R166">
        <v>8.5</v>
      </c>
      <c r="S166">
        <f>YEAR(Table1[[#This Row],[Visitor Date]])</f>
        <v>2022</v>
      </c>
      <c r="T166" t="str">
        <f>TEXT(Table1[[#This Row],[Visitor Date]],"MMM")</f>
        <v>Jun</v>
      </c>
    </row>
    <row r="167" spans="1:20" x14ac:dyDescent="0.25">
      <c r="A167" t="s">
        <v>26</v>
      </c>
      <c r="B167">
        <v>26</v>
      </c>
      <c r="C167" t="s">
        <v>23</v>
      </c>
      <c r="D167">
        <v>269</v>
      </c>
      <c r="E167" s="1">
        <v>44735</v>
      </c>
      <c r="F167">
        <v>10</v>
      </c>
      <c r="G167">
        <v>5.5</v>
      </c>
      <c r="H167">
        <v>76</v>
      </c>
      <c r="I167">
        <v>3.5</v>
      </c>
      <c r="J167">
        <v>48</v>
      </c>
      <c r="K167">
        <v>33</v>
      </c>
      <c r="L167">
        <v>6.5</v>
      </c>
      <c r="M167" t="s">
        <v>27</v>
      </c>
      <c r="N167">
        <v>22</v>
      </c>
      <c r="O167" t="s">
        <v>21</v>
      </c>
      <c r="P167">
        <v>15</v>
      </c>
      <c r="Q167" t="s">
        <v>22</v>
      </c>
      <c r="R167">
        <v>12</v>
      </c>
      <c r="S167">
        <f>YEAR(Table1[[#This Row],[Visitor Date]])</f>
        <v>2022</v>
      </c>
      <c r="T167" t="str">
        <f>TEXT(Table1[[#This Row],[Visitor Date]],"MMM")</f>
        <v>Jun</v>
      </c>
    </row>
    <row r="168" spans="1:20" x14ac:dyDescent="0.25">
      <c r="A168" t="s">
        <v>32</v>
      </c>
      <c r="B168">
        <v>33</v>
      </c>
      <c r="C168" t="s">
        <v>19</v>
      </c>
      <c r="D168">
        <v>34</v>
      </c>
      <c r="E168" s="1">
        <v>44736</v>
      </c>
      <c r="F168">
        <v>20</v>
      </c>
      <c r="G168">
        <v>63</v>
      </c>
      <c r="H168">
        <v>77</v>
      </c>
      <c r="I168">
        <v>4.3</v>
      </c>
      <c r="J168">
        <v>53</v>
      </c>
      <c r="K168">
        <v>96</v>
      </c>
      <c r="L168">
        <v>15</v>
      </c>
      <c r="M168" t="s">
        <v>24</v>
      </c>
      <c r="N168">
        <v>19</v>
      </c>
      <c r="O168" t="s">
        <v>33</v>
      </c>
      <c r="P168">
        <v>14</v>
      </c>
      <c r="Q168" t="s">
        <v>34</v>
      </c>
      <c r="R168">
        <v>11</v>
      </c>
      <c r="S168">
        <f>YEAR(Table1[[#This Row],[Visitor Date]])</f>
        <v>2022</v>
      </c>
      <c r="T168" t="str">
        <f>TEXT(Table1[[#This Row],[Visitor Date]],"MMM")</f>
        <v>Jun</v>
      </c>
    </row>
    <row r="169" spans="1:20" x14ac:dyDescent="0.25">
      <c r="A169" t="s">
        <v>32</v>
      </c>
      <c r="B169">
        <v>33</v>
      </c>
      <c r="C169" t="s">
        <v>23</v>
      </c>
      <c r="D169">
        <v>30</v>
      </c>
      <c r="E169" s="1">
        <v>44737</v>
      </c>
      <c r="F169">
        <v>15</v>
      </c>
      <c r="G169">
        <v>59</v>
      </c>
      <c r="H169">
        <v>78</v>
      </c>
      <c r="I169">
        <v>3.9</v>
      </c>
      <c r="J169">
        <v>51</v>
      </c>
      <c r="K169">
        <v>80</v>
      </c>
      <c r="L169">
        <v>14</v>
      </c>
      <c r="M169" t="s">
        <v>24</v>
      </c>
      <c r="N169">
        <v>18</v>
      </c>
      <c r="O169" t="s">
        <v>33</v>
      </c>
      <c r="P169">
        <v>13</v>
      </c>
      <c r="Q169" t="s">
        <v>34</v>
      </c>
      <c r="R169">
        <v>10</v>
      </c>
      <c r="S169">
        <f>YEAR(Table1[[#This Row],[Visitor Date]])</f>
        <v>2022</v>
      </c>
      <c r="T169" t="str">
        <f>TEXT(Table1[[#This Row],[Visitor Date]],"MMM")</f>
        <v>Jun</v>
      </c>
    </row>
    <row r="170" spans="1:20" x14ac:dyDescent="0.25">
      <c r="A170" t="s">
        <v>32</v>
      </c>
      <c r="B170">
        <v>33</v>
      </c>
      <c r="C170" t="s">
        <v>35</v>
      </c>
      <c r="D170">
        <v>4</v>
      </c>
      <c r="E170" s="1">
        <v>44738</v>
      </c>
      <c r="F170">
        <v>10</v>
      </c>
      <c r="G170">
        <v>58</v>
      </c>
      <c r="H170">
        <v>79</v>
      </c>
      <c r="I170">
        <v>3.6</v>
      </c>
      <c r="J170">
        <v>48</v>
      </c>
      <c r="K170">
        <v>51</v>
      </c>
      <c r="L170">
        <v>13</v>
      </c>
      <c r="M170" t="s">
        <v>24</v>
      </c>
      <c r="N170">
        <v>16</v>
      </c>
      <c r="O170" t="s">
        <v>33</v>
      </c>
      <c r="P170">
        <v>11</v>
      </c>
      <c r="Q170" t="s">
        <v>34</v>
      </c>
      <c r="R170">
        <v>8</v>
      </c>
      <c r="S170">
        <f>YEAR(Table1[[#This Row],[Visitor Date]])</f>
        <v>2022</v>
      </c>
      <c r="T170" t="str">
        <f>TEXT(Table1[[#This Row],[Visitor Date]],"MMM")</f>
        <v>Jun</v>
      </c>
    </row>
    <row r="171" spans="1:20" x14ac:dyDescent="0.25">
      <c r="A171" t="s">
        <v>30</v>
      </c>
      <c r="B171">
        <v>14</v>
      </c>
      <c r="C171" t="s">
        <v>19</v>
      </c>
      <c r="D171">
        <v>19</v>
      </c>
      <c r="E171" s="1">
        <v>44739</v>
      </c>
      <c r="F171">
        <v>17</v>
      </c>
      <c r="G171">
        <v>72</v>
      </c>
      <c r="H171">
        <v>42</v>
      </c>
      <c r="I171">
        <v>4</v>
      </c>
      <c r="J171">
        <v>60</v>
      </c>
      <c r="K171">
        <v>98</v>
      </c>
      <c r="L171">
        <v>14.5</v>
      </c>
      <c r="M171" t="s">
        <v>27</v>
      </c>
      <c r="N171">
        <v>21</v>
      </c>
      <c r="O171" t="s">
        <v>31</v>
      </c>
      <c r="P171">
        <v>16</v>
      </c>
      <c r="Q171" t="s">
        <v>25</v>
      </c>
      <c r="R171">
        <v>15.5</v>
      </c>
      <c r="S171">
        <f>YEAR(Table1[[#This Row],[Visitor Date]])</f>
        <v>2022</v>
      </c>
      <c r="T171" t="str">
        <f>TEXT(Table1[[#This Row],[Visitor Date]],"MMM")</f>
        <v>Jun</v>
      </c>
    </row>
    <row r="172" spans="1:20" x14ac:dyDescent="0.25">
      <c r="A172" t="s">
        <v>30</v>
      </c>
      <c r="B172">
        <v>14</v>
      </c>
      <c r="C172" t="s">
        <v>23</v>
      </c>
      <c r="D172">
        <v>116</v>
      </c>
      <c r="E172" s="1">
        <v>44740</v>
      </c>
      <c r="F172">
        <v>10</v>
      </c>
      <c r="G172">
        <v>67</v>
      </c>
      <c r="H172">
        <v>27</v>
      </c>
      <c r="I172">
        <v>3.5</v>
      </c>
      <c r="J172">
        <v>56</v>
      </c>
      <c r="K172">
        <v>62</v>
      </c>
      <c r="L172">
        <v>12.5</v>
      </c>
      <c r="M172" t="s">
        <v>27</v>
      </c>
      <c r="N172">
        <v>20.5</v>
      </c>
      <c r="O172" t="s">
        <v>31</v>
      </c>
      <c r="P172">
        <v>14</v>
      </c>
      <c r="Q172" t="s">
        <v>25</v>
      </c>
      <c r="R172">
        <v>13</v>
      </c>
      <c r="S172">
        <f>YEAR(Table1[[#This Row],[Visitor Date]])</f>
        <v>2022</v>
      </c>
      <c r="T172" t="str">
        <f>TEXT(Table1[[#This Row],[Visitor Date]],"MMM")</f>
        <v>Jun</v>
      </c>
    </row>
    <row r="173" spans="1:20" x14ac:dyDescent="0.25">
      <c r="A173" t="s">
        <v>30</v>
      </c>
      <c r="B173">
        <v>14</v>
      </c>
      <c r="C173" t="s">
        <v>35</v>
      </c>
      <c r="D173">
        <v>4</v>
      </c>
      <c r="E173" s="1">
        <v>44741</v>
      </c>
      <c r="F173">
        <v>9</v>
      </c>
      <c r="G173">
        <v>66</v>
      </c>
      <c r="H173">
        <v>25</v>
      </c>
      <c r="I173">
        <v>3.4</v>
      </c>
      <c r="J173">
        <v>54</v>
      </c>
      <c r="K173">
        <v>52</v>
      </c>
      <c r="L173">
        <v>12</v>
      </c>
      <c r="M173" t="s">
        <v>27</v>
      </c>
      <c r="N173">
        <v>19</v>
      </c>
      <c r="O173" t="s">
        <v>31</v>
      </c>
      <c r="P173">
        <v>13</v>
      </c>
      <c r="Q173" t="s">
        <v>25</v>
      </c>
      <c r="R173">
        <v>12</v>
      </c>
      <c r="S173">
        <f>YEAR(Table1[[#This Row],[Visitor Date]])</f>
        <v>2022</v>
      </c>
      <c r="T173" t="str">
        <f>TEXT(Table1[[#This Row],[Visitor Date]],"MMM")</f>
        <v>Jun</v>
      </c>
    </row>
    <row r="174" spans="1:20" x14ac:dyDescent="0.25">
      <c r="A174" t="s">
        <v>28</v>
      </c>
      <c r="B174">
        <v>68</v>
      </c>
      <c r="C174" t="s">
        <v>19</v>
      </c>
      <c r="D174">
        <v>62</v>
      </c>
      <c r="E174" s="1">
        <v>44742</v>
      </c>
      <c r="F174">
        <v>15</v>
      </c>
      <c r="G174">
        <v>91.5</v>
      </c>
      <c r="H174">
        <v>57</v>
      </c>
      <c r="I174">
        <v>3.7</v>
      </c>
      <c r="J174">
        <v>6</v>
      </c>
      <c r="K174">
        <v>38</v>
      </c>
      <c r="L174">
        <v>12</v>
      </c>
      <c r="M174" t="s">
        <v>20</v>
      </c>
      <c r="N174">
        <v>5.5</v>
      </c>
      <c r="O174" t="s">
        <v>29</v>
      </c>
      <c r="P174">
        <v>20</v>
      </c>
      <c r="Q174" t="s">
        <v>25</v>
      </c>
      <c r="R174">
        <v>18.5</v>
      </c>
      <c r="S174">
        <f>YEAR(Table1[[#This Row],[Visitor Date]])</f>
        <v>2022</v>
      </c>
      <c r="T174" t="str">
        <f>TEXT(Table1[[#This Row],[Visitor Date]],"MMM")</f>
        <v>Jun</v>
      </c>
    </row>
    <row r="175" spans="1:20" x14ac:dyDescent="0.25">
      <c r="A175" t="s">
        <v>28</v>
      </c>
      <c r="B175">
        <v>68</v>
      </c>
      <c r="C175" t="s">
        <v>23</v>
      </c>
      <c r="D175">
        <v>28</v>
      </c>
      <c r="E175" s="1">
        <v>44743</v>
      </c>
      <c r="F175">
        <v>12</v>
      </c>
      <c r="G175">
        <v>89</v>
      </c>
      <c r="H175">
        <v>53</v>
      </c>
      <c r="I175">
        <v>3.1</v>
      </c>
      <c r="K175">
        <v>99</v>
      </c>
      <c r="L175">
        <v>11.5</v>
      </c>
      <c r="M175" t="s">
        <v>20</v>
      </c>
      <c r="N175">
        <v>4.5</v>
      </c>
      <c r="O175" t="s">
        <v>29</v>
      </c>
      <c r="P175">
        <v>18</v>
      </c>
      <c r="Q175" t="s">
        <v>25</v>
      </c>
      <c r="R175">
        <v>17</v>
      </c>
      <c r="S175">
        <f>YEAR(Table1[[#This Row],[Visitor Date]])</f>
        <v>2022</v>
      </c>
      <c r="T175" t="str">
        <f>TEXT(Table1[[#This Row],[Visitor Date]],"MMM")</f>
        <v>Jul</v>
      </c>
    </row>
    <row r="176" spans="1:20" x14ac:dyDescent="0.25">
      <c r="A176" t="s">
        <v>28</v>
      </c>
      <c r="B176">
        <v>68</v>
      </c>
      <c r="C176" t="s">
        <v>35</v>
      </c>
      <c r="D176">
        <v>115</v>
      </c>
      <c r="E176" s="1">
        <v>44744</v>
      </c>
      <c r="F176">
        <v>10</v>
      </c>
      <c r="G176">
        <v>88</v>
      </c>
      <c r="H176">
        <v>45</v>
      </c>
      <c r="I176">
        <v>2.9</v>
      </c>
      <c r="J176">
        <v>64</v>
      </c>
      <c r="K176">
        <v>55</v>
      </c>
      <c r="L176">
        <v>10</v>
      </c>
      <c r="M176" t="s">
        <v>20</v>
      </c>
      <c r="N176">
        <v>4</v>
      </c>
      <c r="O176" t="s">
        <v>29</v>
      </c>
      <c r="P176">
        <v>16.5</v>
      </c>
      <c r="Q176" t="s">
        <v>25</v>
      </c>
      <c r="R176">
        <v>15</v>
      </c>
      <c r="S176">
        <f>YEAR(Table1[[#This Row],[Visitor Date]])</f>
        <v>2022</v>
      </c>
      <c r="T176" t="str">
        <f>TEXT(Table1[[#This Row],[Visitor Date]],"MMM")</f>
        <v>Jul</v>
      </c>
    </row>
    <row r="177" spans="1:20" x14ac:dyDescent="0.25">
      <c r="A177" t="s">
        <v>18</v>
      </c>
      <c r="B177">
        <v>91</v>
      </c>
      <c r="C177" t="s">
        <v>19</v>
      </c>
      <c r="D177">
        <v>34</v>
      </c>
      <c r="E177" s="1">
        <v>44745</v>
      </c>
      <c r="F177">
        <v>9</v>
      </c>
      <c r="G177">
        <v>5.5</v>
      </c>
      <c r="H177">
        <v>76</v>
      </c>
      <c r="I177">
        <v>3.5</v>
      </c>
      <c r="J177">
        <v>48</v>
      </c>
      <c r="K177">
        <v>33</v>
      </c>
      <c r="L177">
        <v>6.5</v>
      </c>
      <c r="M177" t="s">
        <v>27</v>
      </c>
      <c r="N177">
        <v>22</v>
      </c>
      <c r="O177" t="s">
        <v>21</v>
      </c>
      <c r="P177">
        <v>15</v>
      </c>
      <c r="Q177" t="s">
        <v>22</v>
      </c>
      <c r="R177">
        <v>12</v>
      </c>
      <c r="S177">
        <f>YEAR(Table1[[#This Row],[Visitor Date]])</f>
        <v>2022</v>
      </c>
      <c r="T177" t="str">
        <f>TEXT(Table1[[#This Row],[Visitor Date]],"MMM")</f>
        <v>Jul</v>
      </c>
    </row>
    <row r="178" spans="1:20" x14ac:dyDescent="0.25">
      <c r="A178" t="s">
        <v>26</v>
      </c>
      <c r="B178">
        <v>26</v>
      </c>
      <c r="C178" t="s">
        <v>23</v>
      </c>
      <c r="D178">
        <v>28</v>
      </c>
      <c r="E178" s="1">
        <v>44746</v>
      </c>
      <c r="F178">
        <v>12</v>
      </c>
      <c r="G178">
        <v>6</v>
      </c>
      <c r="H178">
        <v>75</v>
      </c>
      <c r="I178">
        <v>3.1</v>
      </c>
      <c r="J178">
        <v>45</v>
      </c>
      <c r="K178">
        <v>28</v>
      </c>
      <c r="L178">
        <v>5</v>
      </c>
      <c r="M178" t="s">
        <v>27</v>
      </c>
      <c r="N178">
        <v>21</v>
      </c>
      <c r="O178" t="s">
        <v>21</v>
      </c>
      <c r="P178">
        <v>14</v>
      </c>
      <c r="Q178" t="s">
        <v>22</v>
      </c>
      <c r="R178">
        <v>11</v>
      </c>
      <c r="S178">
        <f>YEAR(Table1[[#This Row],[Visitor Date]])</f>
        <v>2022</v>
      </c>
      <c r="T178" t="str">
        <f>TEXT(Table1[[#This Row],[Visitor Date]],"MMM")</f>
        <v>Jul</v>
      </c>
    </row>
    <row r="179" spans="1:20" x14ac:dyDescent="0.25">
      <c r="A179" t="s">
        <v>26</v>
      </c>
      <c r="B179">
        <v>26</v>
      </c>
      <c r="C179" t="s">
        <v>35</v>
      </c>
      <c r="D179">
        <v>8</v>
      </c>
      <c r="E179" s="1">
        <v>44747</v>
      </c>
      <c r="F179">
        <v>8</v>
      </c>
      <c r="G179">
        <v>6.5</v>
      </c>
      <c r="H179">
        <v>70</v>
      </c>
      <c r="I179">
        <v>3</v>
      </c>
      <c r="J179">
        <v>42</v>
      </c>
      <c r="K179">
        <v>69</v>
      </c>
      <c r="L179">
        <v>4.5</v>
      </c>
      <c r="M179" t="s">
        <v>27</v>
      </c>
      <c r="N179">
        <v>20</v>
      </c>
      <c r="O179" t="s">
        <v>21</v>
      </c>
      <c r="P179">
        <v>12</v>
      </c>
      <c r="Q179" t="s">
        <v>25</v>
      </c>
      <c r="R179">
        <v>23</v>
      </c>
      <c r="S179">
        <f>YEAR(Table1[[#This Row],[Visitor Date]])</f>
        <v>2022</v>
      </c>
      <c r="T179" t="str">
        <f>TEXT(Table1[[#This Row],[Visitor Date]],"MMM")</f>
        <v>Jul</v>
      </c>
    </row>
    <row r="180" spans="1:20" x14ac:dyDescent="0.25">
      <c r="A180" t="s">
        <v>18</v>
      </c>
      <c r="B180">
        <v>91</v>
      </c>
      <c r="C180" t="s">
        <v>19</v>
      </c>
      <c r="D180">
        <v>57</v>
      </c>
      <c r="E180" s="1">
        <v>44748</v>
      </c>
      <c r="F180">
        <v>53</v>
      </c>
      <c r="G180">
        <v>54</v>
      </c>
      <c r="H180">
        <v>77</v>
      </c>
      <c r="I180">
        <v>4.5999999999999996</v>
      </c>
      <c r="J180">
        <v>58</v>
      </c>
      <c r="K180">
        <v>73</v>
      </c>
      <c r="L180">
        <v>17</v>
      </c>
      <c r="M180" t="s">
        <v>20</v>
      </c>
      <c r="N180">
        <v>8</v>
      </c>
      <c r="O180" t="s">
        <v>21</v>
      </c>
      <c r="P180">
        <v>16</v>
      </c>
      <c r="Q180" t="s">
        <v>22</v>
      </c>
      <c r="R180">
        <v>23</v>
      </c>
      <c r="S180">
        <f>YEAR(Table1[[#This Row],[Visitor Date]])</f>
        <v>2022</v>
      </c>
      <c r="T180" t="str">
        <f>TEXT(Table1[[#This Row],[Visitor Date]],"MMM")</f>
        <v>Jul</v>
      </c>
    </row>
    <row r="181" spans="1:20" x14ac:dyDescent="0.25">
      <c r="A181" t="s">
        <v>18</v>
      </c>
      <c r="B181">
        <v>91</v>
      </c>
      <c r="C181" t="s">
        <v>23</v>
      </c>
      <c r="D181">
        <v>156</v>
      </c>
      <c r="E181" s="1">
        <v>44749</v>
      </c>
      <c r="F181">
        <v>30</v>
      </c>
      <c r="G181">
        <v>56</v>
      </c>
      <c r="H181">
        <v>72</v>
      </c>
      <c r="I181">
        <v>3.9</v>
      </c>
      <c r="J181">
        <v>57</v>
      </c>
      <c r="K181">
        <v>62</v>
      </c>
      <c r="L181">
        <v>15.5</v>
      </c>
      <c r="M181" t="s">
        <v>20</v>
      </c>
      <c r="N181">
        <v>7.5</v>
      </c>
      <c r="O181" t="s">
        <v>21</v>
      </c>
      <c r="P181">
        <v>15</v>
      </c>
      <c r="Q181" t="s">
        <v>22</v>
      </c>
      <c r="R181">
        <v>21.5</v>
      </c>
      <c r="S181">
        <f>YEAR(Table1[[#This Row],[Visitor Date]])</f>
        <v>2022</v>
      </c>
      <c r="T181" t="str">
        <f>TEXT(Table1[[#This Row],[Visitor Date]],"MMM")</f>
        <v>Jul</v>
      </c>
    </row>
    <row r="182" spans="1:20" x14ac:dyDescent="0.25">
      <c r="A182" t="s">
        <v>18</v>
      </c>
      <c r="B182">
        <v>91</v>
      </c>
      <c r="C182" t="s">
        <v>35</v>
      </c>
      <c r="D182">
        <v>22</v>
      </c>
      <c r="E182" s="1">
        <v>44750</v>
      </c>
      <c r="F182">
        <v>12</v>
      </c>
      <c r="G182">
        <v>58</v>
      </c>
      <c r="H182">
        <v>67</v>
      </c>
      <c r="I182">
        <v>3.3</v>
      </c>
      <c r="J182">
        <v>15</v>
      </c>
      <c r="K182">
        <v>46</v>
      </c>
      <c r="L182">
        <v>14</v>
      </c>
      <c r="M182" t="s">
        <v>20</v>
      </c>
      <c r="N182">
        <v>6</v>
      </c>
      <c r="O182" t="s">
        <v>21</v>
      </c>
      <c r="P182">
        <v>13.5</v>
      </c>
      <c r="Q182" t="s">
        <v>22</v>
      </c>
      <c r="R182">
        <v>20</v>
      </c>
      <c r="S182">
        <f>YEAR(Table1[[#This Row],[Visitor Date]])</f>
        <v>2022</v>
      </c>
      <c r="T182" t="str">
        <f>TEXT(Table1[[#This Row],[Visitor Date]],"MMM")</f>
        <v>Jul</v>
      </c>
    </row>
    <row r="183" spans="1:20" x14ac:dyDescent="0.25">
      <c r="A183" t="s">
        <v>24</v>
      </c>
      <c r="B183">
        <v>44</v>
      </c>
      <c r="C183" t="s">
        <v>19</v>
      </c>
      <c r="D183">
        <v>46</v>
      </c>
      <c r="E183" s="1">
        <v>44751</v>
      </c>
      <c r="F183">
        <v>47</v>
      </c>
      <c r="G183">
        <v>90</v>
      </c>
      <c r="H183">
        <v>47</v>
      </c>
      <c r="I183">
        <v>3.3</v>
      </c>
      <c r="J183">
        <v>45</v>
      </c>
      <c r="K183">
        <v>32</v>
      </c>
      <c r="L183">
        <v>18</v>
      </c>
      <c r="M183" t="s">
        <v>24</v>
      </c>
      <c r="N183">
        <v>27.5</v>
      </c>
      <c r="O183" t="s">
        <v>21</v>
      </c>
      <c r="P183">
        <v>9.5</v>
      </c>
      <c r="Q183" t="s">
        <v>25</v>
      </c>
      <c r="R183">
        <v>8.5</v>
      </c>
      <c r="S183">
        <f>YEAR(Table1[[#This Row],[Visitor Date]])</f>
        <v>2022</v>
      </c>
      <c r="T183" t="str">
        <f>TEXT(Table1[[#This Row],[Visitor Date]],"MMM")</f>
        <v>Jul</v>
      </c>
    </row>
    <row r="184" spans="1:20" x14ac:dyDescent="0.25">
      <c r="A184" t="s">
        <v>24</v>
      </c>
      <c r="B184">
        <v>44</v>
      </c>
      <c r="C184" t="s">
        <v>23</v>
      </c>
      <c r="D184">
        <v>139</v>
      </c>
      <c r="E184" s="1">
        <v>44752</v>
      </c>
      <c r="F184">
        <v>39</v>
      </c>
      <c r="G184">
        <v>87</v>
      </c>
      <c r="H184">
        <v>41</v>
      </c>
      <c r="I184">
        <v>3</v>
      </c>
      <c r="J184">
        <v>44</v>
      </c>
      <c r="K184">
        <v>27</v>
      </c>
      <c r="L184">
        <v>17</v>
      </c>
      <c r="M184" t="s">
        <v>24</v>
      </c>
      <c r="N184">
        <v>26</v>
      </c>
      <c r="O184" t="s">
        <v>21</v>
      </c>
      <c r="P184">
        <v>8</v>
      </c>
      <c r="Q184" t="s">
        <v>25</v>
      </c>
      <c r="R184">
        <v>7.5</v>
      </c>
      <c r="S184">
        <f>YEAR(Table1[[#This Row],[Visitor Date]])</f>
        <v>2022</v>
      </c>
      <c r="T184" t="str">
        <f>TEXT(Table1[[#This Row],[Visitor Date]],"MMM")</f>
        <v>Jul</v>
      </c>
    </row>
    <row r="185" spans="1:20" x14ac:dyDescent="0.25">
      <c r="A185" t="s">
        <v>24</v>
      </c>
      <c r="B185">
        <v>44</v>
      </c>
      <c r="C185" t="s">
        <v>35</v>
      </c>
      <c r="D185">
        <v>29</v>
      </c>
      <c r="E185" s="1">
        <v>44753</v>
      </c>
      <c r="F185">
        <v>25</v>
      </c>
      <c r="G185">
        <v>85</v>
      </c>
      <c r="H185">
        <v>35</v>
      </c>
      <c r="I185">
        <v>3</v>
      </c>
      <c r="J185">
        <v>43</v>
      </c>
      <c r="K185">
        <v>78</v>
      </c>
      <c r="L185">
        <v>16.5</v>
      </c>
      <c r="M185" t="s">
        <v>24</v>
      </c>
      <c r="N185">
        <v>25</v>
      </c>
      <c r="O185" t="s">
        <v>21</v>
      </c>
      <c r="P185">
        <v>7</v>
      </c>
      <c r="Q185" t="s">
        <v>25</v>
      </c>
      <c r="R185">
        <v>6</v>
      </c>
      <c r="S185">
        <f>YEAR(Table1[[#This Row],[Visitor Date]])</f>
        <v>2022</v>
      </c>
      <c r="T185" t="str">
        <f>TEXT(Table1[[#This Row],[Visitor Date]],"MMM")</f>
        <v>Jul</v>
      </c>
    </row>
    <row r="186" spans="1:20" x14ac:dyDescent="0.25">
      <c r="A186" t="s">
        <v>26</v>
      </c>
      <c r="B186">
        <v>26</v>
      </c>
      <c r="C186" t="s">
        <v>19</v>
      </c>
      <c r="D186">
        <v>35</v>
      </c>
      <c r="E186" s="1">
        <v>44754</v>
      </c>
      <c r="F186">
        <v>10</v>
      </c>
      <c r="G186">
        <v>5.5</v>
      </c>
      <c r="H186">
        <v>76</v>
      </c>
      <c r="I186">
        <v>3.5</v>
      </c>
      <c r="J186">
        <v>48</v>
      </c>
      <c r="K186">
        <v>33</v>
      </c>
      <c r="L186">
        <v>6.5</v>
      </c>
      <c r="M186" t="s">
        <v>27</v>
      </c>
      <c r="N186">
        <v>22</v>
      </c>
      <c r="O186" t="s">
        <v>21</v>
      </c>
      <c r="P186">
        <v>15</v>
      </c>
      <c r="Q186" t="s">
        <v>22</v>
      </c>
      <c r="R186">
        <v>12</v>
      </c>
      <c r="S186">
        <f>YEAR(Table1[[#This Row],[Visitor Date]])</f>
        <v>2022</v>
      </c>
      <c r="T186" t="str">
        <f>TEXT(Table1[[#This Row],[Visitor Date]],"MMM")</f>
        <v>Jul</v>
      </c>
    </row>
    <row r="187" spans="1:20" x14ac:dyDescent="0.25">
      <c r="A187" t="s">
        <v>26</v>
      </c>
      <c r="B187">
        <v>26</v>
      </c>
      <c r="C187" t="s">
        <v>23</v>
      </c>
      <c r="D187">
        <v>32</v>
      </c>
      <c r="E187" s="1">
        <v>44755</v>
      </c>
      <c r="F187">
        <v>12</v>
      </c>
      <c r="G187">
        <v>6</v>
      </c>
      <c r="H187">
        <v>75</v>
      </c>
      <c r="I187">
        <v>3.1</v>
      </c>
      <c r="J187">
        <v>45</v>
      </c>
      <c r="K187">
        <v>28</v>
      </c>
      <c r="L187">
        <v>6</v>
      </c>
      <c r="M187" t="s">
        <v>27</v>
      </c>
      <c r="N187">
        <v>21</v>
      </c>
      <c r="O187" t="s">
        <v>21</v>
      </c>
      <c r="P187">
        <v>14</v>
      </c>
      <c r="Q187" t="s">
        <v>22</v>
      </c>
      <c r="R187">
        <v>11</v>
      </c>
      <c r="S187">
        <f>YEAR(Table1[[#This Row],[Visitor Date]])</f>
        <v>2022</v>
      </c>
      <c r="T187" t="str">
        <f>TEXT(Table1[[#This Row],[Visitor Date]],"MMM")</f>
        <v>Jul</v>
      </c>
    </row>
    <row r="188" spans="1:20" x14ac:dyDescent="0.25">
      <c r="A188" t="s">
        <v>26</v>
      </c>
      <c r="B188">
        <v>26</v>
      </c>
      <c r="C188" t="s">
        <v>35</v>
      </c>
      <c r="D188">
        <v>120</v>
      </c>
      <c r="E188" s="1">
        <v>44756</v>
      </c>
      <c r="F188">
        <v>8</v>
      </c>
      <c r="G188">
        <v>6.5</v>
      </c>
      <c r="H188">
        <v>70</v>
      </c>
      <c r="I188">
        <v>3</v>
      </c>
      <c r="J188">
        <v>42</v>
      </c>
      <c r="K188">
        <v>69</v>
      </c>
      <c r="L188">
        <v>5.5</v>
      </c>
      <c r="M188" t="s">
        <v>27</v>
      </c>
      <c r="N188">
        <v>20</v>
      </c>
      <c r="O188" t="s">
        <v>21</v>
      </c>
      <c r="P188">
        <v>12</v>
      </c>
      <c r="Q188" t="s">
        <v>22</v>
      </c>
      <c r="R188">
        <v>10</v>
      </c>
      <c r="S188">
        <f>YEAR(Table1[[#This Row],[Visitor Date]])</f>
        <v>2022</v>
      </c>
      <c r="T188" t="str">
        <f>TEXT(Table1[[#This Row],[Visitor Date]],"MMM")</f>
        <v>Jul</v>
      </c>
    </row>
    <row r="189" spans="1:20" x14ac:dyDescent="0.25">
      <c r="A189" t="s">
        <v>28</v>
      </c>
      <c r="B189">
        <v>68</v>
      </c>
      <c r="C189" t="s">
        <v>19</v>
      </c>
      <c r="D189">
        <v>66</v>
      </c>
      <c r="E189" s="1">
        <v>44757</v>
      </c>
      <c r="F189">
        <v>15</v>
      </c>
      <c r="G189">
        <v>91.5</v>
      </c>
      <c r="H189">
        <v>57</v>
      </c>
      <c r="I189">
        <v>3.7</v>
      </c>
      <c r="J189">
        <v>7</v>
      </c>
      <c r="K189">
        <v>38</v>
      </c>
      <c r="L189">
        <v>12</v>
      </c>
      <c r="M189" t="s">
        <v>20</v>
      </c>
      <c r="N189">
        <v>5.5</v>
      </c>
      <c r="O189" t="s">
        <v>29</v>
      </c>
      <c r="P189">
        <v>20</v>
      </c>
      <c r="Q189" t="s">
        <v>25</v>
      </c>
      <c r="R189">
        <v>18.5</v>
      </c>
      <c r="S189">
        <f>YEAR(Table1[[#This Row],[Visitor Date]])</f>
        <v>2022</v>
      </c>
      <c r="T189" t="str">
        <f>TEXT(Table1[[#This Row],[Visitor Date]],"MMM")</f>
        <v>Jul</v>
      </c>
    </row>
    <row r="190" spans="1:20" x14ac:dyDescent="0.25">
      <c r="A190" t="s">
        <v>28</v>
      </c>
      <c r="B190">
        <v>68</v>
      </c>
      <c r="C190" t="s">
        <v>23</v>
      </c>
      <c r="D190">
        <v>28</v>
      </c>
      <c r="E190" s="1">
        <v>44758</v>
      </c>
      <c r="F190">
        <v>12</v>
      </c>
      <c r="G190">
        <v>89</v>
      </c>
      <c r="H190">
        <v>53</v>
      </c>
      <c r="I190">
        <v>3.1</v>
      </c>
      <c r="J190">
        <v>66</v>
      </c>
      <c r="K190">
        <v>99</v>
      </c>
      <c r="L190">
        <v>11.5</v>
      </c>
      <c r="M190" t="s">
        <v>20</v>
      </c>
      <c r="N190">
        <v>4.5</v>
      </c>
      <c r="O190" t="s">
        <v>29</v>
      </c>
      <c r="P190">
        <v>18</v>
      </c>
      <c r="Q190" t="s">
        <v>25</v>
      </c>
      <c r="R190">
        <v>17</v>
      </c>
      <c r="S190">
        <f>YEAR(Table1[[#This Row],[Visitor Date]])</f>
        <v>2022</v>
      </c>
      <c r="T190" t="str">
        <f>TEXT(Table1[[#This Row],[Visitor Date]],"MMM")</f>
        <v>Jul</v>
      </c>
    </row>
    <row r="191" spans="1:20" x14ac:dyDescent="0.25">
      <c r="A191" t="s">
        <v>28</v>
      </c>
      <c r="B191">
        <v>68</v>
      </c>
      <c r="C191" t="s">
        <v>35</v>
      </c>
      <c r="D191">
        <v>55</v>
      </c>
      <c r="E191" s="1">
        <v>44759</v>
      </c>
      <c r="F191">
        <v>10</v>
      </c>
      <c r="G191">
        <v>88</v>
      </c>
      <c r="H191">
        <v>45</v>
      </c>
      <c r="I191">
        <v>2.9</v>
      </c>
      <c r="J191">
        <v>64</v>
      </c>
      <c r="K191">
        <v>55</v>
      </c>
      <c r="L191">
        <v>10</v>
      </c>
      <c r="M191" t="s">
        <v>20</v>
      </c>
      <c r="N191">
        <v>4</v>
      </c>
      <c r="O191" t="s">
        <v>29</v>
      </c>
      <c r="P191">
        <v>16.5</v>
      </c>
      <c r="Q191" t="s">
        <v>25</v>
      </c>
      <c r="R191">
        <v>15</v>
      </c>
      <c r="S191">
        <f>YEAR(Table1[[#This Row],[Visitor Date]])</f>
        <v>2022</v>
      </c>
      <c r="T191" t="str">
        <f>TEXT(Table1[[#This Row],[Visitor Date]],"MMM")</f>
        <v>Jul</v>
      </c>
    </row>
    <row r="192" spans="1:20" x14ac:dyDescent="0.25">
      <c r="A192" t="s">
        <v>30</v>
      </c>
      <c r="B192">
        <v>14</v>
      </c>
      <c r="C192" t="s">
        <v>19</v>
      </c>
      <c r="D192">
        <v>20</v>
      </c>
      <c r="E192" s="1">
        <v>44760</v>
      </c>
      <c r="F192">
        <v>18</v>
      </c>
      <c r="G192">
        <v>72</v>
      </c>
      <c r="H192">
        <v>42</v>
      </c>
      <c r="I192">
        <v>4</v>
      </c>
      <c r="J192">
        <v>60</v>
      </c>
      <c r="K192">
        <v>98</v>
      </c>
      <c r="L192">
        <v>14.5</v>
      </c>
      <c r="M192" t="s">
        <v>27</v>
      </c>
      <c r="N192">
        <v>21</v>
      </c>
      <c r="O192" t="s">
        <v>31</v>
      </c>
      <c r="P192">
        <v>16</v>
      </c>
      <c r="Q192" t="s">
        <v>25</v>
      </c>
      <c r="R192">
        <v>15.5</v>
      </c>
      <c r="S192">
        <f>YEAR(Table1[[#This Row],[Visitor Date]])</f>
        <v>2022</v>
      </c>
      <c r="T192" t="str">
        <f>TEXT(Table1[[#This Row],[Visitor Date]],"MMM")</f>
        <v>Jul</v>
      </c>
    </row>
    <row r="193" spans="1:20" x14ac:dyDescent="0.25">
      <c r="A193" t="s">
        <v>30</v>
      </c>
      <c r="B193">
        <v>14</v>
      </c>
      <c r="C193" t="s">
        <v>23</v>
      </c>
      <c r="D193">
        <v>16</v>
      </c>
      <c r="E193" s="1">
        <v>44761</v>
      </c>
      <c r="F193">
        <v>10</v>
      </c>
      <c r="G193">
        <v>67</v>
      </c>
      <c r="H193">
        <v>27</v>
      </c>
      <c r="I193">
        <v>3.5</v>
      </c>
      <c r="J193">
        <v>56</v>
      </c>
      <c r="K193">
        <v>62</v>
      </c>
      <c r="L193">
        <v>12.5</v>
      </c>
      <c r="M193" t="s">
        <v>27</v>
      </c>
      <c r="N193">
        <v>20.5</v>
      </c>
      <c r="O193" t="s">
        <v>31</v>
      </c>
      <c r="P193">
        <v>14</v>
      </c>
      <c r="Q193" t="s">
        <v>25</v>
      </c>
      <c r="R193">
        <v>13</v>
      </c>
      <c r="S193">
        <f>YEAR(Table1[[#This Row],[Visitor Date]])</f>
        <v>2022</v>
      </c>
      <c r="T193" t="str">
        <f>TEXT(Table1[[#This Row],[Visitor Date]],"MMM")</f>
        <v>Jul</v>
      </c>
    </row>
    <row r="194" spans="1:20" x14ac:dyDescent="0.25">
      <c r="A194" t="s">
        <v>30</v>
      </c>
      <c r="B194">
        <v>14</v>
      </c>
      <c r="C194" t="s">
        <v>35</v>
      </c>
      <c r="D194">
        <v>14</v>
      </c>
      <c r="E194" s="1">
        <v>44762</v>
      </c>
      <c r="F194">
        <v>9</v>
      </c>
      <c r="G194">
        <v>66</v>
      </c>
      <c r="H194">
        <v>25</v>
      </c>
      <c r="I194">
        <v>3.4</v>
      </c>
      <c r="J194">
        <v>54</v>
      </c>
      <c r="K194">
        <v>52</v>
      </c>
      <c r="L194">
        <v>12</v>
      </c>
      <c r="M194" t="s">
        <v>27</v>
      </c>
      <c r="N194">
        <v>19</v>
      </c>
      <c r="O194" t="s">
        <v>31</v>
      </c>
      <c r="P194">
        <v>13</v>
      </c>
      <c r="Q194" t="s">
        <v>25</v>
      </c>
      <c r="R194">
        <v>12</v>
      </c>
      <c r="S194">
        <f>YEAR(Table1[[#This Row],[Visitor Date]])</f>
        <v>2022</v>
      </c>
      <c r="T194" t="str">
        <f>TEXT(Table1[[#This Row],[Visitor Date]],"MMM")</f>
        <v>Jul</v>
      </c>
    </row>
    <row r="195" spans="1:20" x14ac:dyDescent="0.25">
      <c r="A195" t="s">
        <v>24</v>
      </c>
      <c r="B195">
        <v>44</v>
      </c>
      <c r="C195" t="s">
        <v>23</v>
      </c>
      <c r="D195">
        <v>35</v>
      </c>
      <c r="E195" s="1">
        <v>44763</v>
      </c>
      <c r="F195">
        <v>32</v>
      </c>
      <c r="G195">
        <v>85.3</v>
      </c>
      <c r="H195">
        <v>35</v>
      </c>
      <c r="I195">
        <v>2.5</v>
      </c>
      <c r="J195">
        <v>45</v>
      </c>
      <c r="K195">
        <v>29</v>
      </c>
      <c r="L195">
        <v>17.5</v>
      </c>
      <c r="M195" t="s">
        <v>24</v>
      </c>
      <c r="N195">
        <v>26</v>
      </c>
      <c r="O195" t="s">
        <v>21</v>
      </c>
      <c r="P195">
        <v>7.5</v>
      </c>
      <c r="Q195" t="s">
        <v>25</v>
      </c>
      <c r="R195">
        <v>6.3</v>
      </c>
      <c r="S195">
        <f>YEAR(Table1[[#This Row],[Visitor Date]])</f>
        <v>2022</v>
      </c>
      <c r="T195" t="str">
        <f>TEXT(Table1[[#This Row],[Visitor Date]],"MMM")</f>
        <v>Jul</v>
      </c>
    </row>
    <row r="196" spans="1:20" x14ac:dyDescent="0.25">
      <c r="A196" t="s">
        <v>26</v>
      </c>
      <c r="B196">
        <v>26</v>
      </c>
      <c r="C196" t="s">
        <v>35</v>
      </c>
      <c r="D196">
        <v>88</v>
      </c>
      <c r="E196" s="1">
        <v>44764</v>
      </c>
      <c r="F196">
        <v>8</v>
      </c>
      <c r="G196">
        <v>6.5</v>
      </c>
      <c r="H196">
        <v>70</v>
      </c>
      <c r="I196">
        <v>3</v>
      </c>
      <c r="J196">
        <v>42</v>
      </c>
      <c r="K196">
        <v>69</v>
      </c>
      <c r="L196">
        <v>5.5</v>
      </c>
      <c r="M196" t="s">
        <v>27</v>
      </c>
      <c r="N196">
        <v>20</v>
      </c>
      <c r="O196" t="s">
        <v>21</v>
      </c>
      <c r="P196">
        <v>12</v>
      </c>
      <c r="Q196" t="s">
        <v>22</v>
      </c>
      <c r="R196">
        <v>10</v>
      </c>
      <c r="S196">
        <f>YEAR(Table1[[#This Row],[Visitor Date]])</f>
        <v>2022</v>
      </c>
      <c r="T196" t="str">
        <f>TEXT(Table1[[#This Row],[Visitor Date]],"MMM")</f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ghulam murtaza</cp:lastModifiedBy>
  <dcterms:created xsi:type="dcterms:W3CDTF">2025-06-13T02:44:26Z</dcterms:created>
  <dcterms:modified xsi:type="dcterms:W3CDTF">2026-08-16T13:46:45Z</dcterms:modified>
</cp:coreProperties>
</file>